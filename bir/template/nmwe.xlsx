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mc:AlternateContent xmlns:mc="http://schemas.openxmlformats.org/markup-compatibility/2006">
    <mc:Choice Requires="x15">
      <x15ac:absPath xmlns:x15ac="http://schemas.microsoft.com/office/spreadsheetml/2010/11/ac" url="C:\xampp\htdocs\pmc\bir\bir\2021\davao\app\template\"/>
    </mc:Choice>
  </mc:AlternateContent>
  <xr:revisionPtr revIDLastSave="0" documentId="13_ncr:1_{0FA315D4-BC64-4F35-B252-3F0127D34377}" xr6:coauthVersionLast="47" xr6:coauthVersionMax="47" xr10:uidLastSave="{00000000-0000-0000-0000-000000000000}"/>
  <bookViews>
    <workbookView xWindow="20370" yWindow="-3240" windowWidth="29040" windowHeight="15840" xr2:uid="{00000000-000D-0000-FFFF-FFFF00000000}"/>
  </bookViews>
  <sheets>
    <sheet name="Sched 1. Non-MWE" sheetId="1" r:id="rId1"/>
    <sheet name="Sheet1" sheetId="2" r:id="rId2"/>
  </sheets>
  <externalReferences>
    <externalReference r:id="rId3"/>
  </externalReferences>
  <definedNames>
    <definedName name="BonusRate">[1]Assumptions!$C$7</definedName>
    <definedName name="Meterage">[1]Assumptions!$C$5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S11" i="1" l="1"/>
  <c r="AT11" i="1" s="1"/>
  <c r="AR11" i="1"/>
  <c r="AI11" i="1"/>
  <c r="AJ11" i="1" s="1"/>
  <c r="AN11" i="1" s="1"/>
  <c r="V11" i="1"/>
  <c r="AS10" i="1"/>
  <c r="AT10" i="1" s="1"/>
  <c r="AR10" i="1"/>
  <c r="AI10" i="1"/>
  <c r="AJ10" i="1" s="1"/>
  <c r="AN10" i="1" s="1"/>
  <c r="AE10" i="1"/>
  <c r="V10" i="1"/>
  <c r="AS8" i="1"/>
  <c r="AT8" i="1" s="1"/>
  <c r="AR8" i="1"/>
  <c r="AI8" i="1"/>
  <c r="AE8" i="1"/>
  <c r="Z8" i="1"/>
  <c r="V8" i="1"/>
  <c r="L10" i="1" l="1"/>
  <c r="AJ8" i="1"/>
  <c r="AN8" i="1" s="1"/>
  <c r="L11" i="1"/>
  <c r="L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Abraham I. Pestano</author>
    <author>armand_dy</author>
  </authors>
  <commentList>
    <comment ref="H1" authorId="0" shapeId="0" xr:uid="{00000000-0006-0000-0000-000001000000}">
      <text>
        <r>
          <rPr>
            <b/>
            <sz val="9"/>
            <color indexed="81"/>
            <rFont val="Tahoma"/>
            <family val="2"/>
          </rPr>
          <t>Abe:</t>
        </r>
        <r>
          <rPr>
            <sz val="9"/>
            <color indexed="81"/>
            <rFont val="Tahoma"/>
            <family val="2"/>
          </rPr>
          <t xml:space="preserve">
Put the employment status of each employee in this column, i.e. R,C,CP, etc. Refer below
R - Regular
C - Casual
CP - Contractual/Project-Based
S - Seasonal
P - Probationary
AL - Apprentices/Learners</t>
        </r>
      </text>
    </comment>
    <comment ref="K2" authorId="0" shapeId="0" xr:uid="{00000000-0006-0000-0000-000002000000}">
      <text>
        <r>
          <rPr>
            <b/>
            <sz val="9"/>
            <color indexed="81"/>
            <rFont val="Tahoma"/>
            <family val="2"/>
          </rPr>
          <t>Abe:</t>
        </r>
        <r>
          <rPr>
            <sz val="9"/>
            <color indexed="81"/>
            <rFont val="Tahoma"/>
            <family val="2"/>
          </rPr>
          <t xml:space="preserve">
If employee was separated with the Co. during the year, put the reason (i.e. T,TR,R,D)
T- Terminated
TR - Transferred
R - Retirement
D - Death
Leave blank if N/A</t>
        </r>
      </text>
    </comment>
    <comment ref="N3" authorId="0" shapeId="0" xr:uid="{00000000-0006-0000-0000-000003000000}">
      <text>
        <r>
          <rPr>
            <b/>
            <sz val="9"/>
            <color indexed="81"/>
            <rFont val="Tahoma"/>
            <family val="2"/>
          </rPr>
          <t xml:space="preserve">Abe:
</t>
        </r>
        <r>
          <rPr>
            <sz val="9"/>
            <color indexed="81"/>
            <rFont val="Tahoma"/>
            <family val="2"/>
          </rPr>
          <t xml:space="preserve">Refer to column G, put here the applicable status pertaining to its previous employer, IF APPLICABLE
</t>
        </r>
      </text>
    </comment>
    <comment ref="Q3" authorId="0" shapeId="0" xr:uid="{00000000-0006-0000-0000-000004000000}">
      <text>
        <r>
          <rPr>
            <b/>
            <sz val="9"/>
            <color indexed="81"/>
            <rFont val="Tahoma"/>
            <family val="2"/>
          </rPr>
          <t>Abe:</t>
        </r>
        <r>
          <rPr>
            <sz val="9"/>
            <color indexed="81"/>
            <rFont val="Tahoma"/>
            <family val="2"/>
          </rPr>
          <t xml:space="preserve">
If applicable only
Refer to column J</t>
        </r>
      </text>
    </comment>
    <comment ref="I4" authorId="1" shapeId="0" xr:uid="{00000000-0006-0000-0000-000005000000}">
      <text>
        <r>
          <rPr>
            <b/>
            <sz val="9"/>
            <color indexed="81"/>
            <rFont val="Tahoma"/>
            <family val="2"/>
          </rPr>
          <t>armand_dy:</t>
        </r>
        <r>
          <rPr>
            <sz val="9"/>
            <color indexed="81"/>
            <rFont val="Tahoma"/>
            <family val="2"/>
          </rPr>
          <t xml:space="preserve">
Hired Date</t>
        </r>
      </text>
    </comment>
    <comment ref="J4" authorId="1" shapeId="0" xr:uid="{00000000-0006-0000-0000-000006000000}">
      <text>
        <r>
          <rPr>
            <b/>
            <sz val="9"/>
            <color indexed="81"/>
            <rFont val="Tahoma"/>
            <family val="2"/>
          </rPr>
          <t>armand_dy:</t>
        </r>
        <r>
          <rPr>
            <sz val="9"/>
            <color indexed="81"/>
            <rFont val="Tahoma"/>
            <family val="2"/>
          </rPr>
          <t xml:space="preserve">
Date Resigned</t>
        </r>
      </text>
    </comment>
    <comment ref="O4" authorId="1" shapeId="0" xr:uid="{00000000-0006-0000-0000-000007000000}">
      <text>
        <r>
          <rPr>
            <b/>
            <sz val="9"/>
            <color indexed="81"/>
            <rFont val="Tahoma"/>
            <family val="2"/>
          </rPr>
          <t>armand_dy:</t>
        </r>
        <r>
          <rPr>
            <sz val="9"/>
            <color indexed="81"/>
            <rFont val="Tahoma"/>
            <family val="2"/>
          </rPr>
          <t xml:space="preserve">
Hired Date</t>
        </r>
      </text>
    </comment>
    <comment ref="P4" authorId="1" shapeId="0" xr:uid="{00000000-0006-0000-0000-000008000000}">
      <text>
        <r>
          <rPr>
            <b/>
            <sz val="9"/>
            <color indexed="81"/>
            <rFont val="Tahoma"/>
            <family val="2"/>
          </rPr>
          <t>armand_dy:</t>
        </r>
        <r>
          <rPr>
            <sz val="9"/>
            <color indexed="81"/>
            <rFont val="Tahoma"/>
            <family val="2"/>
          </rPr>
          <t xml:space="preserve">
Date Resigned</t>
        </r>
      </text>
    </comment>
    <comment ref="R4" authorId="1" shapeId="0" xr:uid="{00000000-0006-0000-0000-000009000000}">
      <text>
        <r>
          <rPr>
            <b/>
            <sz val="9"/>
            <color indexed="81"/>
            <rFont val="Tahoma"/>
            <family val="2"/>
          </rPr>
          <t>armand_dy:</t>
        </r>
        <r>
          <rPr>
            <sz val="9"/>
            <color indexed="81"/>
            <rFont val="Tahoma"/>
            <family val="2"/>
          </rPr>
          <t xml:space="preserve">
Non taxable 13th Month and other benefits
Max of 90K
</t>
        </r>
      </text>
    </comment>
    <comment ref="T4" authorId="1" shapeId="0" xr:uid="{00000000-0006-0000-0000-00000A000000}">
      <text>
        <r>
          <rPr>
            <b/>
            <sz val="9"/>
            <color indexed="81"/>
            <rFont val="Tahoma"/>
            <family val="2"/>
          </rPr>
          <t>armand_dy:</t>
        </r>
        <r>
          <rPr>
            <sz val="9"/>
            <color indexed="81"/>
            <rFont val="Tahoma"/>
            <family val="2"/>
          </rPr>
          <t xml:space="preserve">
SSS, PHIC, HDMF and Union dues</t>
        </r>
      </text>
    </comment>
    <comment ref="U4" authorId="1" shapeId="0" xr:uid="{00000000-0006-0000-0000-00000B000000}">
      <text>
        <r>
          <rPr>
            <b/>
            <sz val="9"/>
            <color indexed="81"/>
            <rFont val="Tahoma"/>
            <family val="2"/>
          </rPr>
          <t>armand_dy:</t>
        </r>
        <r>
          <rPr>
            <sz val="9"/>
            <color indexed="81"/>
            <rFont val="Tahoma"/>
            <family val="2"/>
          </rPr>
          <t xml:space="preserve">
Non Tax Salaries and Other forms of Non Tax Compensation</t>
        </r>
      </text>
    </comment>
    <comment ref="X4" authorId="1" shapeId="0" xr:uid="{00000000-0006-0000-0000-00000C000000}">
      <text>
        <r>
          <rPr>
            <b/>
            <sz val="9"/>
            <color indexed="81"/>
            <rFont val="Tahoma"/>
            <family val="2"/>
          </rPr>
          <t>armand_dy:</t>
        </r>
        <r>
          <rPr>
            <sz val="9"/>
            <color indexed="81"/>
            <rFont val="Tahoma"/>
            <family val="2"/>
          </rPr>
          <t xml:space="preserve">
In Excess of 90K</t>
        </r>
      </text>
    </comment>
    <comment ref="AA4" authorId="1" shapeId="0" xr:uid="{00000000-0006-0000-0000-00000D000000}">
      <text>
        <r>
          <rPr>
            <b/>
            <sz val="9"/>
            <color indexed="81"/>
            <rFont val="Tahoma"/>
            <family val="2"/>
          </rPr>
          <t>armand_dy:</t>
        </r>
        <r>
          <rPr>
            <sz val="9"/>
            <color indexed="81"/>
            <rFont val="Tahoma"/>
            <family val="2"/>
          </rPr>
          <t xml:space="preserve">
Max of 90K</t>
        </r>
      </text>
    </comment>
    <comment ref="AC4" authorId="1" shapeId="0" xr:uid="{00000000-0006-0000-0000-00000E000000}">
      <text>
        <r>
          <rPr>
            <b/>
            <sz val="9"/>
            <color indexed="81"/>
            <rFont val="Tahoma"/>
            <family val="2"/>
          </rPr>
          <t>armand_dy:</t>
        </r>
        <r>
          <rPr>
            <sz val="9"/>
            <color indexed="81"/>
            <rFont val="Tahoma"/>
            <family val="2"/>
          </rPr>
          <t xml:space="preserve">
SSS, PHIC, HDMF and Union dues</t>
        </r>
      </text>
    </comment>
    <comment ref="AG4" authorId="1" shapeId="0" xr:uid="{00000000-0006-0000-0000-00000F000000}">
      <text>
        <r>
          <rPr>
            <b/>
            <sz val="9"/>
            <color indexed="81"/>
            <rFont val="Tahoma"/>
            <family val="2"/>
          </rPr>
          <t>armand_dy:</t>
        </r>
        <r>
          <rPr>
            <sz val="9"/>
            <color indexed="81"/>
            <rFont val="Tahoma"/>
            <family val="2"/>
          </rPr>
          <t xml:space="preserve">
Taxable Portion of the 13th month and other benefits
In excess of 90K
</t>
        </r>
      </text>
    </comment>
    <comment ref="AI4" authorId="1" shapeId="0" xr:uid="{00000000-0006-0000-0000-000010000000}">
      <text>
        <r>
          <rPr>
            <b/>
            <sz val="9"/>
            <color indexed="81"/>
            <rFont val="Tahoma"/>
            <family val="2"/>
          </rPr>
          <t>armand_dy:</t>
        </r>
        <r>
          <rPr>
            <sz val="9"/>
            <color indexed="81"/>
            <rFont val="Tahoma"/>
            <family val="2"/>
          </rPr>
          <t xml:space="preserve">
Total = 04g+04h+04i</t>
        </r>
      </text>
    </comment>
    <comment ref="AJ4" authorId="1" shapeId="0" xr:uid="{00000000-0006-0000-0000-000011000000}">
      <text>
        <r>
          <rPr>
            <b/>
            <sz val="9"/>
            <color indexed="81"/>
            <rFont val="Tahoma"/>
            <family val="2"/>
          </rPr>
          <t>armand_dy:</t>
        </r>
        <r>
          <rPr>
            <sz val="9"/>
            <color indexed="81"/>
            <rFont val="Tahoma"/>
            <family val="2"/>
          </rPr>
          <t xml:space="preserve">
Previous + Current</t>
        </r>
      </text>
    </comment>
    <comment ref="AK4" authorId="0" shapeId="0" xr:uid="{00000000-0006-0000-0000-000012000000}">
      <text>
        <r>
          <rPr>
            <b/>
            <sz val="9"/>
            <color indexed="81"/>
            <rFont val="Tahoma"/>
            <family val="2"/>
          </rPr>
          <t>Abe:</t>
        </r>
        <r>
          <rPr>
            <sz val="9"/>
            <color indexed="81"/>
            <rFont val="Tahoma"/>
            <family val="2"/>
          </rPr>
          <t xml:space="preserve">
Disregard this column</t>
        </r>
      </text>
    </comment>
    <comment ref="AM4" authorId="0" shapeId="0" xr:uid="{00000000-0006-0000-0000-000013000000}">
      <text>
        <r>
          <rPr>
            <b/>
            <sz val="9"/>
            <color indexed="81"/>
            <rFont val="Tahoma"/>
            <family val="2"/>
          </rPr>
          <t>Abe:</t>
        </r>
        <r>
          <rPr>
            <sz val="9"/>
            <color indexed="81"/>
            <rFont val="Tahoma"/>
            <family val="2"/>
          </rPr>
          <t xml:space="preserve">
Disregard this column</t>
        </r>
      </text>
    </comment>
    <comment ref="AN4" authorId="0" shapeId="0" xr:uid="{00000000-0006-0000-0000-000014000000}">
      <text>
        <r>
          <rPr>
            <b/>
            <sz val="9"/>
            <color indexed="81"/>
            <rFont val="Tahoma"/>
            <family val="2"/>
          </rPr>
          <t>Abe:</t>
        </r>
        <r>
          <rPr>
            <sz val="9"/>
            <color indexed="81"/>
            <rFont val="Tahoma"/>
            <family val="2"/>
          </rPr>
          <t xml:space="preserve">
Y+AH</t>
        </r>
      </text>
    </comment>
    <comment ref="AO4" authorId="1" shapeId="0" xr:uid="{00000000-0006-0000-0000-000015000000}">
      <text>
        <r>
          <rPr>
            <b/>
            <sz val="9"/>
            <color indexed="81"/>
            <rFont val="Tahoma"/>
            <family val="2"/>
          </rPr>
          <t>armand_dy:</t>
        </r>
        <r>
          <rPr>
            <sz val="9"/>
            <color indexed="81"/>
            <rFont val="Tahoma"/>
            <family val="2"/>
          </rPr>
          <t xml:space="preserve">
Jan - Dec (1 year)
Tax Table</t>
        </r>
      </text>
    </comment>
    <comment ref="AR4" authorId="1" shapeId="0" xr:uid="{00000000-0006-0000-0000-000016000000}">
      <text>
        <r>
          <rPr>
            <b/>
            <sz val="9"/>
            <color indexed="81"/>
            <rFont val="Tahoma"/>
            <family val="2"/>
          </rPr>
          <t>armand_dy:</t>
        </r>
        <r>
          <rPr>
            <sz val="9"/>
            <color indexed="81"/>
            <rFont val="Tahoma"/>
            <family val="2"/>
          </rPr>
          <t xml:space="preserve">
armand_dy:
Additional tax to be deducted from employee by installment</t>
        </r>
      </text>
    </comment>
    <comment ref="AS4" authorId="1" shapeId="0" xr:uid="{00000000-0006-0000-0000-000017000000}">
      <text>
        <r>
          <rPr>
            <b/>
            <sz val="9"/>
            <color indexed="81"/>
            <rFont val="Tahoma"/>
            <family val="2"/>
          </rPr>
          <t>armand_dy:</t>
        </r>
        <r>
          <rPr>
            <sz val="9"/>
            <color indexed="81"/>
            <rFont val="Tahoma"/>
            <family val="2"/>
          </rPr>
          <t xml:space="preserve">
Over withheld Tax Refunded to Employees</t>
        </r>
      </text>
    </comment>
    <comment ref="AT4" authorId="1" shapeId="0" xr:uid="{00000000-0006-0000-0000-000018000000}">
      <text>
        <r>
          <rPr>
            <b/>
            <sz val="9"/>
            <color indexed="81"/>
            <rFont val="Tahoma"/>
            <family val="2"/>
          </rPr>
          <t>armand_dy:</t>
        </r>
        <r>
          <rPr>
            <sz val="9"/>
            <color indexed="81"/>
            <rFont val="Tahoma"/>
            <family val="2"/>
          </rPr>
          <t xml:space="preserve">
Amount of Tax withheld as adjusted.
This will reflected in form 2316</t>
        </r>
      </text>
    </comment>
    <comment ref="AU4" authorId="1" shapeId="0" xr:uid="{00000000-0006-0000-0000-000019000000}">
      <text>
        <r>
          <rPr>
            <b/>
            <sz val="9"/>
            <color indexed="81"/>
            <rFont val="Tahoma"/>
            <family val="2"/>
          </rPr>
          <t>abe:</t>
        </r>
        <r>
          <rPr>
            <sz val="9"/>
            <color indexed="81"/>
            <rFont val="Tahoma"/>
            <family val="2"/>
          </rPr>
          <t xml:space="preserve">
Substituted Filing?
Y - if employee has no other employer for the year
N - if otherwise</t>
        </r>
      </text>
    </comment>
    <comment ref="AO5" authorId="1" shapeId="0" xr:uid="{00000000-0006-0000-0000-00001A000000}">
      <text>
        <r>
          <rPr>
            <b/>
            <sz val="9"/>
            <color indexed="81"/>
            <rFont val="Tahoma"/>
            <family val="2"/>
          </rPr>
          <t>armand_dy:</t>
        </r>
        <r>
          <rPr>
            <sz val="9"/>
            <color indexed="81"/>
            <rFont val="Tahoma"/>
            <family val="2"/>
          </rPr>
          <t xml:space="preserve">
Jan - Dec period covered
</t>
        </r>
      </text>
    </comment>
    <comment ref="AT5" authorId="1" shapeId="0" xr:uid="{00000000-0006-0000-0000-00001B000000}">
      <text>
        <r>
          <rPr>
            <b/>
            <sz val="9"/>
            <color indexed="81"/>
            <rFont val="Tahoma"/>
            <family val="2"/>
          </rPr>
          <t>armand_dy:</t>
        </r>
        <r>
          <rPr>
            <sz val="9"/>
            <color indexed="81"/>
            <rFont val="Tahoma"/>
            <family val="2"/>
          </rPr>
          <t xml:space="preserve">
Amount of Tax withheld as adjusted.
This will reflected in form 2316</t>
        </r>
      </text>
    </comment>
    <comment ref="D10" authorId="0" shapeId="0" xr:uid="{00000000-0006-0000-0000-00001C000000}">
      <text>
        <r>
          <rPr>
            <b/>
            <sz val="9"/>
            <color indexed="81"/>
            <rFont val="Tahoma"/>
            <family val="2"/>
          </rPr>
          <t>Abe:</t>
        </r>
        <r>
          <rPr>
            <sz val="9"/>
            <color indexed="81"/>
            <rFont val="Tahoma"/>
            <family val="2"/>
          </rPr>
          <t xml:space="preserve">
Be careful on the encoding of TIN, make sure that the format is followed. If incorrect TIN is encoded, the error will be detected by the validator and will reject for submission</t>
        </r>
      </text>
    </comment>
  </commentList>
</comments>
</file>

<file path=xl/sharedStrings.xml><?xml version="1.0" encoding="utf-8"?>
<sst xmlns="http://schemas.openxmlformats.org/spreadsheetml/2006/main" count="112" uniqueCount="73">
  <si>
    <t>Name of Employees_03</t>
  </si>
  <si>
    <t>Gross Compensation Income</t>
  </si>
  <si>
    <t>Previous Employer</t>
  </si>
  <si>
    <t>Present Employer</t>
  </si>
  <si>
    <t>Non Taxable</t>
  </si>
  <si>
    <t>Taxable</t>
  </si>
  <si>
    <t>Exemption</t>
  </si>
  <si>
    <t>Tax Withheld</t>
  </si>
  <si>
    <t>Year End Adjustment</t>
  </si>
  <si>
    <t>SeqNo_01</t>
  </si>
  <si>
    <t>TIN_02</t>
  </si>
  <si>
    <t>LastName</t>
  </si>
  <si>
    <t>FirstName</t>
  </si>
  <si>
    <t>MidName</t>
  </si>
  <si>
    <t>EmploymentFrom</t>
  </si>
  <si>
    <t>EmploymentTo</t>
  </si>
  <si>
    <t>GrossCompInc_01</t>
  </si>
  <si>
    <t>13thOther_02</t>
  </si>
  <si>
    <t>DeMin_03</t>
  </si>
  <si>
    <t>Statutory_04</t>
  </si>
  <si>
    <t>OtherSal_05</t>
  </si>
  <si>
    <t>Total_NT_06</t>
  </si>
  <si>
    <t>BasicPay_07</t>
  </si>
  <si>
    <t>13thMonth_08</t>
  </si>
  <si>
    <t>SalariesOthers_09</t>
  </si>
  <si>
    <t>TotalTaxable_10</t>
  </si>
  <si>
    <t>13thOther_11</t>
  </si>
  <si>
    <t>DeMin_12</t>
  </si>
  <si>
    <t>Statutory_13</t>
  </si>
  <si>
    <t>OtherSal_14</t>
  </si>
  <si>
    <t>Total_NT_15</t>
  </si>
  <si>
    <t>BasicPay_16</t>
  </si>
  <si>
    <t>13thMonth_17</t>
  </si>
  <si>
    <t>SalariesOthers_18</t>
  </si>
  <si>
    <t>TotalTaxable_19</t>
  </si>
  <si>
    <t>TotalTaxable_20</t>
  </si>
  <si>
    <t>Code_21</t>
  </si>
  <si>
    <t>Amount_22</t>
  </si>
  <si>
    <t>PremiumPaidHeal_23</t>
  </si>
  <si>
    <t>NetTaxableComp_24</t>
  </si>
  <si>
    <t>Tax_Due_Full_25</t>
  </si>
  <si>
    <t>PrevEmployer_26</t>
  </si>
  <si>
    <t>PresentEmployer_27</t>
  </si>
  <si>
    <t>WheldPaidDec_28</t>
  </si>
  <si>
    <t>OverWithRef_29</t>
  </si>
  <si>
    <t>AmountWheldAdj_30</t>
  </si>
  <si>
    <t>SubsFile_31</t>
  </si>
  <si>
    <t>Legend</t>
  </si>
  <si>
    <t>Example</t>
  </si>
  <si>
    <t>PMCA001</t>
  </si>
  <si>
    <t>01</t>
  </si>
  <si>
    <t>122-123-123-000</t>
  </si>
  <si>
    <t>Test</t>
  </si>
  <si>
    <t>Y</t>
  </si>
  <si>
    <t>Start Below This Line</t>
  </si>
  <si>
    <t>Constant</t>
  </si>
  <si>
    <t>N</t>
  </si>
  <si>
    <t>02</t>
  </si>
  <si>
    <t>Current Employment Status</t>
  </si>
  <si>
    <r>
      <t xml:space="preserve">Reason of Separation, </t>
    </r>
    <r>
      <rPr>
        <i/>
        <sz val="11"/>
        <color theme="0"/>
        <rFont val="Calibri"/>
        <family val="2"/>
        <scheme val="minor"/>
      </rPr>
      <t>if applicable</t>
    </r>
  </si>
  <si>
    <t>R</t>
  </si>
  <si>
    <t>Employment Status</t>
  </si>
  <si>
    <r>
      <t xml:space="preserve">Reason of Separation
</t>
    </r>
    <r>
      <rPr>
        <i/>
        <sz val="11"/>
        <color theme="0"/>
        <rFont val="Calibri"/>
        <family val="2"/>
        <scheme val="minor"/>
      </rPr>
      <t>If Applicable</t>
    </r>
  </si>
  <si>
    <r>
      <rPr>
        <sz val="11"/>
        <color theme="0"/>
        <rFont val="Calibri"/>
        <family val="2"/>
        <scheme val="minor"/>
      </rPr>
      <t>TIN  of</t>
    </r>
    <r>
      <rPr>
        <b/>
        <sz val="11"/>
        <color theme="0"/>
        <rFont val="Calibri"/>
        <family val="2"/>
        <scheme val="minor"/>
      </rPr>
      <t xml:space="preserve">
</t>
    </r>
    <r>
      <rPr>
        <sz val="9"/>
        <color theme="0"/>
        <rFont val="Calibri"/>
        <family val="2"/>
        <scheme val="minor"/>
      </rPr>
      <t>Previous Employer</t>
    </r>
  </si>
  <si>
    <t>I</t>
  </si>
  <si>
    <t>L</t>
  </si>
  <si>
    <t>y</t>
  </si>
  <si>
    <t>EXAMPLE 1</t>
  </si>
  <si>
    <t>EXAMPLE 2</t>
  </si>
  <si>
    <t>CURRENT EMPLOYEE</t>
  </si>
  <si>
    <t>RESIGNED</t>
  </si>
  <si>
    <t>42 A</t>
  </si>
  <si>
    <t>EMP_ID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</si>
</sst>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rgb="FF006100"/>
      <name val="Calibri"/>
      <family val="2"/>
      <scheme val="minor"/>
    </font>
    <font>
      <b/>
      <sz val="12"/>
      <color theme="0"/>
      <name val="Calibri"/>
      <family val="2"/>
      <scheme val="minor"/>
    </font>
    <font>
      <b/>
      <sz val="11"/>
      <color rgb="FF9C6500"/>
      <name val="Calibri"/>
      <family val="2"/>
      <scheme val="minor"/>
    </font>
    <font>
      <b/>
      <u/>
      <sz val="11"/>
      <color theme="1"/>
      <name val="Calibri"/>
      <family val="2"/>
      <scheme val="minor"/>
    </font>
    <font>
      <sz val="11"/>
      <color indexed="8"/>
      <name val="Calibri"/>
      <family val="2"/>
      <scheme val="minor"/>
    </font>
    <font>
      <b/>
      <sz val="9"/>
      <color indexed="81"/>
      <name val="Tahoma"/>
      <family val="2"/>
    </font>
    <font>
      <sz val="9"/>
      <color indexed="81"/>
      <name val="Tahoma"/>
      <family val="2"/>
    </font>
    <font>
      <i/>
      <sz val="11"/>
      <color theme="0"/>
      <name val="Calibri"/>
      <family val="2"/>
      <scheme val="minor"/>
    </font>
    <font>
      <sz val="9"/>
      <color theme="0"/>
      <name val="Calibri"/>
      <family val="2"/>
      <scheme val="minor"/>
    </font>
    <font>
      <sz val="8"/>
      <color indexed="8"/>
      <name val="Arial"/>
      <family val="2"/>
    </font>
  </fonts>
  <fills count="1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7"/>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2" tint="-0.89999084444715716"/>
        <bgColor indexed="64"/>
      </patternFill>
    </fill>
    <fill>
      <patternFill patternType="solid">
        <fgColor theme="1"/>
        <bgColor indexed="64"/>
      </patternFill>
    </fill>
    <fill>
      <patternFill patternType="solid">
        <fgColor theme="0" tint="-0.249977111117893"/>
        <bgColor indexed="64"/>
      </patternFill>
    </fill>
    <fill>
      <patternFill patternType="solid">
        <fgColor theme="5"/>
        <bgColor indexed="64"/>
      </patternFill>
    </fill>
  </fills>
  <borders count="7">
    <border>
      <left/>
      <right/>
      <top/>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style="thin">
        <color rgb="FFB2B2B2"/>
      </top>
      <bottom/>
      <diagonal/>
    </border>
    <border>
      <left style="thin">
        <color rgb="FFB2B2B2"/>
      </left>
      <right/>
      <top style="thin">
        <color rgb="FFB2B2B2"/>
      </top>
      <bottom style="thin">
        <color rgb="FFB2B2B2"/>
      </bottom>
      <diagonal/>
    </border>
    <border>
      <left/>
      <right style="thin">
        <color rgb="FFB2B2B2"/>
      </right>
      <top style="thin">
        <color rgb="FFB2B2B2"/>
      </top>
      <bottom style="thin">
        <color rgb="FFB2B2B2"/>
      </bottom>
      <diagonal/>
    </border>
    <border>
      <left/>
      <right/>
      <top/>
      <bottom style="medium">
        <color indexed="64"/>
      </bottom>
      <diagonal/>
    </border>
    <border>
      <left/>
      <right/>
      <top style="thin">
        <color rgb="FFB2B2B2"/>
      </top>
      <bottom/>
      <diagonal/>
    </border>
  </borders>
  <cellStyleXfs count="13">
    <xf numFmtId="0" fontId="0" fillId="0" borderId="0"/>
    <xf numFmtId="43"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1" fillId="5" borderId="1" applyNumberFormat="0" applyFont="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cellStyleXfs>
  <cellXfs count="59">
    <xf numFmtId="0" fontId="0" fillId="0" borderId="0" xfId="0"/>
    <xf numFmtId="0" fontId="6" fillId="0" borderId="0" xfId="0" applyFont="1" applyFill="1"/>
    <xf numFmtId="0" fontId="7" fillId="6" borderId="0" xfId="6"/>
    <xf numFmtId="0" fontId="7" fillId="8" borderId="0" xfId="8"/>
    <xf numFmtId="0" fontId="8" fillId="2" borderId="0" xfId="2" applyFont="1" applyAlignment="1">
      <alignment horizontal="centerContinuous"/>
    </xf>
    <xf numFmtId="0" fontId="5" fillId="12" borderId="0" xfId="12" applyFont="1"/>
    <xf numFmtId="0" fontId="9" fillId="8" borderId="2" xfId="8" applyFont="1" applyBorder="1" applyAlignment="1">
      <alignment horizontal="centerContinuous"/>
    </xf>
    <xf numFmtId="0" fontId="5" fillId="8" borderId="1" xfId="8" applyFont="1" applyBorder="1" applyAlignment="1">
      <alignment horizontal="centerContinuous"/>
    </xf>
    <xf numFmtId="0" fontId="5" fillId="8" borderId="3" xfId="8" applyFont="1" applyBorder="1" applyAlignment="1">
      <alignment horizontal="centerContinuous"/>
    </xf>
    <xf numFmtId="0" fontId="7" fillId="10" borderId="0" xfId="10" applyBorder="1" applyAlignment="1">
      <alignment horizontal="centerContinuous"/>
    </xf>
    <xf numFmtId="0" fontId="8" fillId="2" borderId="0" xfId="2" applyFont="1"/>
    <xf numFmtId="0" fontId="6" fillId="0" borderId="0" xfId="0" applyFont="1"/>
    <xf numFmtId="43" fontId="6" fillId="0" borderId="0" xfId="0" applyNumberFormat="1" applyFont="1"/>
    <xf numFmtId="0" fontId="5" fillId="9" borderId="4" xfId="9" applyFont="1" applyBorder="1" applyAlignment="1">
      <alignment horizontal="centerContinuous"/>
    </xf>
    <xf numFmtId="0" fontId="5" fillId="9" borderId="1" xfId="9" applyFont="1" applyBorder="1" applyAlignment="1">
      <alignment horizontal="centerContinuous"/>
    </xf>
    <xf numFmtId="0" fontId="5" fillId="12" borderId="1" xfId="12" applyFont="1" applyBorder="1" applyAlignment="1">
      <alignment horizontal="centerContinuous"/>
    </xf>
    <xf numFmtId="0" fontId="5" fillId="12" borderId="3" xfId="12" applyFont="1" applyBorder="1" applyAlignment="1">
      <alignment horizontal="centerContinuous"/>
    </xf>
    <xf numFmtId="0" fontId="5" fillId="7" borderId="0" xfId="7" applyFont="1" applyAlignment="1">
      <alignment horizontal="centerContinuous"/>
    </xf>
    <xf numFmtId="0" fontId="10" fillId="4" borderId="0" xfId="4" applyFont="1" applyAlignment="1">
      <alignment horizontal="centerContinuous"/>
    </xf>
    <xf numFmtId="0" fontId="7" fillId="7" borderId="0" xfId="7" applyAlignment="1">
      <alignment horizontal="centerContinuous"/>
    </xf>
    <xf numFmtId="0" fontId="7" fillId="10" borderId="0" xfId="10" applyBorder="1" applyAlignment="1"/>
    <xf numFmtId="0" fontId="6" fillId="5" borderId="1" xfId="5" applyFont="1" applyAlignment="1">
      <alignment horizontal="centerContinuous"/>
    </xf>
    <xf numFmtId="0" fontId="7" fillId="8" borderId="0" xfId="8" applyAlignment="1">
      <alignment horizontal="center"/>
    </xf>
    <xf numFmtId="0" fontId="7" fillId="10" borderId="0" xfId="10" applyAlignment="1">
      <alignment horizontal="center"/>
    </xf>
    <xf numFmtId="0" fontId="7" fillId="12" borderId="0" xfId="12" applyAlignment="1">
      <alignment horizontal="center"/>
    </xf>
    <xf numFmtId="0" fontId="7" fillId="11" borderId="0" xfId="11" applyAlignment="1">
      <alignment horizontal="center"/>
    </xf>
    <xf numFmtId="0" fontId="7" fillId="9" borderId="0" xfId="9" applyAlignment="1">
      <alignment horizontal="center"/>
    </xf>
    <xf numFmtId="0" fontId="7" fillId="10" borderId="0" xfId="10" applyBorder="1" applyAlignment="1">
      <alignment horizontal="center"/>
    </xf>
    <xf numFmtId="0" fontId="7" fillId="6" borderId="0" xfId="6" applyAlignment="1">
      <alignment horizontal="center"/>
    </xf>
    <xf numFmtId="0" fontId="3" fillId="3" borderId="0" xfId="3" applyAlignment="1">
      <alignment horizontal="center"/>
    </xf>
    <xf numFmtId="0" fontId="7" fillId="10" borderId="0" xfId="10"/>
    <xf numFmtId="0" fontId="0" fillId="0" borderId="0" xfId="0" applyAlignment="1">
      <alignment horizontal="center"/>
    </xf>
    <xf numFmtId="0" fontId="0" fillId="13" borderId="0" xfId="0" applyFill="1" applyAlignment="1">
      <alignment horizontal="center"/>
    </xf>
    <xf numFmtId="0" fontId="0" fillId="14" borderId="0" xfId="0" applyFill="1" applyAlignment="1">
      <alignment horizontal="center"/>
    </xf>
    <xf numFmtId="43" fontId="0" fillId="0" borderId="0" xfId="1" applyFont="1"/>
    <xf numFmtId="43" fontId="0" fillId="0" borderId="0" xfId="1" applyFont="1" applyAlignment="1">
      <alignment horizontal="center"/>
    </xf>
    <xf numFmtId="0" fontId="11" fillId="0" borderId="0" xfId="0" applyFont="1" applyAlignment="1">
      <alignment horizontal="left"/>
    </xf>
    <xf numFmtId="0" fontId="0" fillId="0" borderId="0" xfId="0" applyFill="1" applyAlignment="1">
      <alignment horizontal="center"/>
    </xf>
    <xf numFmtId="43" fontId="0" fillId="15" borderId="0" xfId="1" applyFont="1" applyFill="1"/>
    <xf numFmtId="0" fontId="11" fillId="0" borderId="0" xfId="0" applyFont="1"/>
    <xf numFmtId="0" fontId="0" fillId="0" borderId="0" xfId="0" quotePrefix="1" applyAlignment="1">
      <alignment horizontal="center"/>
    </xf>
    <xf numFmtId="0" fontId="6" fillId="0" borderId="5" xfId="0" applyFont="1" applyBorder="1"/>
    <xf numFmtId="0" fontId="0" fillId="0" borderId="5" xfId="0" applyBorder="1"/>
    <xf numFmtId="43" fontId="0" fillId="0" borderId="5" xfId="1" applyFont="1" applyBorder="1"/>
    <xf numFmtId="0" fontId="12" fillId="0" borderId="0" xfId="0" quotePrefix="1" applyNumberFormat="1" applyFont="1" applyFill="1" applyBorder="1" applyAlignment="1" applyProtection="1">
      <alignment horizontal="center"/>
    </xf>
    <xf numFmtId="14" fontId="0" fillId="0" borderId="0" xfId="0" applyNumberFormat="1" applyFont="1"/>
    <xf numFmtId="43" fontId="0" fillId="0" borderId="0" xfId="1" applyFont="1" applyFill="1"/>
    <xf numFmtId="0" fontId="5" fillId="6" borderId="0" xfId="6" applyFont="1" applyBorder="1" applyAlignment="1">
      <alignment horizontal="center" wrapText="1"/>
    </xf>
    <xf numFmtId="0" fontId="7" fillId="16" borderId="0" xfId="12" applyFill="1" applyAlignment="1">
      <alignment horizontal="center"/>
    </xf>
    <xf numFmtId="0" fontId="0" fillId="0" borderId="0" xfId="0" applyFill="1"/>
    <xf numFmtId="14" fontId="0" fillId="0" borderId="0" xfId="0" applyNumberFormat="1" applyFont="1" applyFill="1"/>
    <xf numFmtId="43" fontId="0" fillId="0" borderId="0" xfId="1" applyFont="1" applyFill="1" applyAlignment="1">
      <alignment horizontal="center"/>
    </xf>
    <xf numFmtId="43" fontId="17" fillId="0" borderId="0" xfId="1" applyFont="1" applyBorder="1" applyAlignment="1">
      <alignment horizontal="left" vertical="center"/>
    </xf>
    <xf numFmtId="43" fontId="0" fillId="0" borderId="0" xfId="1" quotePrefix="1" applyFont="1" applyFill="1"/>
    <xf numFmtId="0" fontId="6" fillId="0" borderId="5" xfId="1" applyNumberFormat="1" applyFont="1" applyBorder="1" applyAlignment="1">
      <alignment horizontal="center"/>
    </xf>
    <xf numFmtId="0" fontId="5" fillId="6" borderId="6" xfId="6" applyFont="1" applyBorder="1" applyAlignment="1">
      <alignment horizontal="center" wrapText="1"/>
    </xf>
    <xf numFmtId="0" fontId="5" fillId="6" borderId="0" xfId="6" applyFont="1" applyBorder="1" applyAlignment="1">
      <alignment horizontal="center" wrapText="1"/>
    </xf>
    <xf numFmtId="0" fontId="8" fillId="2" borderId="0" xfId="2" applyFont="1" applyAlignment="1">
      <alignment horizontal="center" wrapText="1"/>
    </xf>
    <xf numFmtId="0" fontId="5" fillId="12" borderId="0" xfId="12" applyFont="1" applyAlignment="1">
      <alignment horizontal="center" wrapText="1"/>
    </xf>
  </cellXfs>
  <cellStyles count="13">
    <cellStyle name="60% - Accent2" xfId="7" builtinId="36"/>
    <cellStyle name="60% - Accent5" xfId="11" builtinId="48"/>
    <cellStyle name="Accent2" xfId="6" builtinId="33"/>
    <cellStyle name="Accent3" xfId="8" builtinId="37"/>
    <cellStyle name="Accent4" xfId="9" builtinId="41"/>
    <cellStyle name="Accent5" xfId="10" builtinId="45"/>
    <cellStyle name="Accent6" xfId="12" builtinId="49"/>
    <cellStyle name="Bad" xfId="3" builtinId="27"/>
    <cellStyle name="Comma" xfId="1" builtinId="3"/>
    <cellStyle name="Good" xfId="2" builtinId="26"/>
    <cellStyle name="Neutral" xfId="4" builtinId="28"/>
    <cellStyle name="Normal" xfId="0" builtinId="0"/>
    <cellStyle name="Note" xfId="5"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mand_dy_sbf/Cloud/Google%20Drive/Taxation/BonusCompensationComparis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ComparisonAnnualized"/>
      <sheetName val="Admin (2)"/>
      <sheetName val="Contributions"/>
    </sheetNames>
    <sheetDataSet>
      <sheetData sheetId="0">
        <row r="5">
          <cell r="C5">
            <v>14994.45</v>
          </cell>
        </row>
        <row r="7">
          <cell r="C7">
            <v>100</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B1:BB20"/>
  <sheetViews>
    <sheetView tabSelected="1" zoomScale="90" zoomScaleNormal="90" workbookViewId="0">
      <pane xSplit="5" ySplit="11" topLeftCell="F12" activePane="bottomRight" state="frozen"/>
      <selection pane="topRight" activeCell="F1" sqref="F1"/>
      <selection pane="bottomLeft" activeCell="A17" sqref="A17"/>
      <selection pane="bottomRight" activeCell="F31" sqref="F31"/>
    </sheetView>
  </sheetViews>
  <sheetFormatPr defaultColWidth="15.7109375" defaultRowHeight="15" outlineLevelRow="1" x14ac:dyDescent="0.25"/>
  <cols>
    <col min="1" max="1" width="5.140625" customWidth="1"/>
    <col min="2" max="2" width="2.5703125" customWidth="1"/>
    <col min="3" max="3" width="3.42578125" customWidth="1"/>
    <col min="4" max="4" width="5.5703125" customWidth="1"/>
    <col min="5" max="5" width="19.85546875" customWidth="1"/>
    <col min="6" max="6" width="28.85546875" customWidth="1"/>
    <col min="7" max="8" width="19.5703125" customWidth="1"/>
    <col min="9" max="9" width="19.42578125" customWidth="1"/>
    <col min="12" max="12" width="15.7109375" style="34" customWidth="1"/>
    <col min="13" max="13" width="16.7109375" style="34" customWidth="1"/>
    <col min="14" max="25" width="15.7109375" style="34" customWidth="1"/>
    <col min="26" max="26" width="14.7109375" style="34" customWidth="1"/>
    <col min="27" max="27" width="15.7109375" style="34"/>
    <col min="28" max="28" width="12.7109375" style="34" customWidth="1"/>
    <col min="29" max="39" width="15.7109375" style="34"/>
    <col min="40" max="40" width="22" style="34" customWidth="1"/>
    <col min="41" max="42" width="15.7109375" style="34"/>
    <col min="43" max="43" width="22.140625" style="34" customWidth="1"/>
    <col min="44" max="44" width="17.7109375" style="34" customWidth="1"/>
    <col min="45" max="45" width="17" style="34" customWidth="1"/>
    <col min="46" max="46" width="19.5703125" style="34" customWidth="1"/>
    <col min="47" max="47" width="15.7109375" style="34"/>
  </cols>
  <sheetData>
    <row r="1" spans="2:54" s="11" customFormat="1" ht="15.75" x14ac:dyDescent="0.25">
      <c r="B1" s="1"/>
      <c r="C1" s="2"/>
      <c r="D1" s="3"/>
      <c r="E1" s="4" t="s">
        <v>0</v>
      </c>
      <c r="F1" s="4"/>
      <c r="G1" s="4"/>
      <c r="H1" s="57" t="s">
        <v>58</v>
      </c>
      <c r="I1" s="5"/>
      <c r="J1" s="5"/>
      <c r="K1" s="5"/>
      <c r="L1" s="6" t="s">
        <v>1</v>
      </c>
      <c r="M1" s="6"/>
      <c r="N1" s="6"/>
      <c r="O1" s="6"/>
      <c r="P1" s="6"/>
      <c r="Q1" s="6"/>
      <c r="R1" s="7"/>
      <c r="S1" s="7"/>
      <c r="T1" s="7"/>
      <c r="U1" s="7"/>
      <c r="V1" s="7"/>
      <c r="W1" s="7"/>
      <c r="X1" s="7"/>
      <c r="Y1" s="7"/>
      <c r="Z1" s="7"/>
      <c r="AA1" s="7"/>
      <c r="AB1" s="7"/>
      <c r="AC1" s="7"/>
      <c r="AD1" s="7"/>
      <c r="AE1" s="7"/>
      <c r="AF1" s="7"/>
      <c r="AG1" s="7"/>
      <c r="AH1" s="7"/>
      <c r="AI1" s="8"/>
      <c r="AJ1" s="9"/>
      <c r="AK1" s="10"/>
      <c r="AL1" s="10"/>
      <c r="AP1" s="12"/>
      <c r="AR1" s="12"/>
      <c r="AS1" s="12"/>
    </row>
    <row r="2" spans="2:54" s="11" customFormat="1" x14ac:dyDescent="0.25">
      <c r="C2" s="2"/>
      <c r="D2" s="3"/>
      <c r="E2" s="4"/>
      <c r="F2" s="4"/>
      <c r="G2" s="4"/>
      <c r="H2" s="57"/>
      <c r="I2" s="5"/>
      <c r="J2" s="5"/>
      <c r="K2" s="58" t="s">
        <v>59</v>
      </c>
      <c r="L2" s="56" t="s">
        <v>1</v>
      </c>
      <c r="M2" s="13"/>
      <c r="N2" s="13"/>
      <c r="O2" s="13"/>
      <c r="P2" s="13"/>
      <c r="Q2" s="13"/>
      <c r="R2" s="13" t="s">
        <v>2</v>
      </c>
      <c r="S2" s="14"/>
      <c r="T2" s="14"/>
      <c r="U2" s="14"/>
      <c r="V2" s="14"/>
      <c r="W2" s="14"/>
      <c r="X2" s="14"/>
      <c r="Y2" s="14"/>
      <c r="Z2" s="14"/>
      <c r="AA2" s="15" t="s">
        <v>3</v>
      </c>
      <c r="AB2" s="15"/>
      <c r="AC2" s="15"/>
      <c r="AD2" s="15"/>
      <c r="AE2" s="15"/>
      <c r="AF2" s="15"/>
      <c r="AG2" s="15"/>
      <c r="AH2" s="15"/>
      <c r="AI2" s="16"/>
      <c r="AJ2" s="9"/>
      <c r="AK2" s="10"/>
      <c r="AL2" s="10"/>
      <c r="AR2" s="12"/>
    </row>
    <row r="3" spans="2:54" s="11" customFormat="1" ht="15" customHeight="1" x14ac:dyDescent="0.25">
      <c r="C3" s="2"/>
      <c r="D3" s="3"/>
      <c r="E3" s="4"/>
      <c r="F3" s="4"/>
      <c r="G3" s="4"/>
      <c r="H3" s="57"/>
      <c r="I3" s="5"/>
      <c r="J3" s="5"/>
      <c r="K3" s="58"/>
      <c r="L3" s="56"/>
      <c r="M3" s="55" t="s">
        <v>63</v>
      </c>
      <c r="N3" s="55" t="s">
        <v>61</v>
      </c>
      <c r="O3" s="47"/>
      <c r="P3" s="47"/>
      <c r="Q3" s="55" t="s">
        <v>62</v>
      </c>
      <c r="R3" s="17" t="s">
        <v>4</v>
      </c>
      <c r="S3" s="17"/>
      <c r="T3" s="17"/>
      <c r="U3" s="17"/>
      <c r="V3" s="17"/>
      <c r="W3" s="18" t="s">
        <v>5</v>
      </c>
      <c r="X3" s="18"/>
      <c r="Y3" s="18"/>
      <c r="Z3" s="18"/>
      <c r="AA3" s="17" t="s">
        <v>4</v>
      </c>
      <c r="AB3" s="19"/>
      <c r="AC3" s="19"/>
      <c r="AD3" s="19"/>
      <c r="AE3" s="19"/>
      <c r="AF3" s="18" t="s">
        <v>5</v>
      </c>
      <c r="AG3" s="18"/>
      <c r="AH3" s="18"/>
      <c r="AI3" s="18"/>
      <c r="AJ3" s="20"/>
      <c r="AK3" s="4" t="s">
        <v>6</v>
      </c>
      <c r="AL3" s="4"/>
      <c r="AP3" s="17" t="s">
        <v>7</v>
      </c>
      <c r="AQ3" s="19"/>
      <c r="AR3" s="21" t="s">
        <v>8</v>
      </c>
      <c r="AS3" s="21"/>
    </row>
    <row r="4" spans="2:54" x14ac:dyDescent="0.25">
      <c r="B4" t="s">
        <v>72</v>
      </c>
      <c r="C4" s="2" t="s">
        <v>9</v>
      </c>
      <c r="D4" s="22" t="s">
        <v>10</v>
      </c>
      <c r="E4" s="23" t="s">
        <v>11</v>
      </c>
      <c r="F4" s="23" t="s">
        <v>12</v>
      </c>
      <c r="G4" s="23" t="s">
        <v>13</v>
      </c>
      <c r="H4" s="23"/>
      <c r="I4" s="24" t="s">
        <v>14</v>
      </c>
      <c r="J4" s="24" t="s">
        <v>15</v>
      </c>
      <c r="K4" s="58"/>
      <c r="L4" s="25" t="s">
        <v>16</v>
      </c>
      <c r="M4" s="56"/>
      <c r="N4" s="56"/>
      <c r="O4" s="48" t="s">
        <v>14</v>
      </c>
      <c r="P4" s="48" t="s">
        <v>15</v>
      </c>
      <c r="Q4" s="56"/>
      <c r="R4" s="26" t="s">
        <v>17</v>
      </c>
      <c r="S4" s="26" t="s">
        <v>18</v>
      </c>
      <c r="T4" s="26" t="s">
        <v>19</v>
      </c>
      <c r="U4" s="26" t="s">
        <v>20</v>
      </c>
      <c r="V4" s="26" t="s">
        <v>21</v>
      </c>
      <c r="W4" s="22" t="s">
        <v>22</v>
      </c>
      <c r="X4" s="22" t="s">
        <v>23</v>
      </c>
      <c r="Y4" s="22" t="s">
        <v>24</v>
      </c>
      <c r="Z4" s="22" t="s">
        <v>25</v>
      </c>
      <c r="AA4" s="26" t="s">
        <v>26</v>
      </c>
      <c r="AB4" s="26" t="s">
        <v>27</v>
      </c>
      <c r="AC4" s="26" t="s">
        <v>28</v>
      </c>
      <c r="AD4" s="26" t="s">
        <v>29</v>
      </c>
      <c r="AE4" s="26" t="s">
        <v>30</v>
      </c>
      <c r="AF4" s="22" t="s">
        <v>31</v>
      </c>
      <c r="AG4" s="22" t="s">
        <v>32</v>
      </c>
      <c r="AH4" s="22" t="s">
        <v>33</v>
      </c>
      <c r="AI4" s="22" t="s">
        <v>34</v>
      </c>
      <c r="AJ4" s="27" t="s">
        <v>35</v>
      </c>
      <c r="AK4" s="28" t="s">
        <v>36</v>
      </c>
      <c r="AL4" s="28" t="s">
        <v>37</v>
      </c>
      <c r="AM4" s="29" t="s">
        <v>38</v>
      </c>
      <c r="AN4" s="23" t="s">
        <v>39</v>
      </c>
      <c r="AO4" s="28" t="s">
        <v>40</v>
      </c>
      <c r="AP4" s="22" t="s">
        <v>41</v>
      </c>
      <c r="AQ4" s="30" t="s">
        <v>42</v>
      </c>
      <c r="AR4" s="28" t="s">
        <v>43</v>
      </c>
      <c r="AS4" s="22" t="s">
        <v>44</v>
      </c>
      <c r="AT4" s="28" t="s">
        <v>45</v>
      </c>
      <c r="AU4" s="22" t="s">
        <v>46</v>
      </c>
      <c r="AV4" s="11"/>
      <c r="AW4" s="11"/>
      <c r="AX4" s="11"/>
      <c r="AY4" s="11"/>
      <c r="AZ4" s="11"/>
      <c r="BA4" s="11"/>
      <c r="BB4" s="11"/>
    </row>
    <row r="5" spans="2:54" s="31" customFormat="1" outlineLevel="1" x14ac:dyDescent="0.25">
      <c r="C5" s="31" t="s">
        <v>9</v>
      </c>
      <c r="D5" s="31" t="s">
        <v>10</v>
      </c>
      <c r="E5" s="31" t="s">
        <v>11</v>
      </c>
      <c r="F5" s="31" t="s">
        <v>12</v>
      </c>
      <c r="G5" s="31" t="s">
        <v>13</v>
      </c>
      <c r="I5" s="31" t="s">
        <v>14</v>
      </c>
      <c r="J5" s="31" t="s">
        <v>15</v>
      </c>
      <c r="L5" s="31" t="s">
        <v>16</v>
      </c>
      <c r="O5" s="31" t="s">
        <v>14</v>
      </c>
      <c r="P5" s="31" t="s">
        <v>15</v>
      </c>
      <c r="Q5" s="56"/>
      <c r="R5" s="32"/>
      <c r="S5" s="32"/>
      <c r="T5" s="32"/>
      <c r="U5" s="32"/>
      <c r="V5" s="32"/>
      <c r="W5" s="32"/>
      <c r="X5" s="32"/>
      <c r="Y5" s="32"/>
      <c r="Z5" s="32"/>
      <c r="AA5" s="31" t="s">
        <v>26</v>
      </c>
      <c r="AB5" s="31" t="s">
        <v>27</v>
      </c>
      <c r="AC5" s="31" t="s">
        <v>28</v>
      </c>
      <c r="AD5" s="31" t="s">
        <v>29</v>
      </c>
      <c r="AE5" s="31" t="s">
        <v>30</v>
      </c>
      <c r="AF5" s="31" t="s">
        <v>31</v>
      </c>
      <c r="AG5" s="31" t="s">
        <v>32</v>
      </c>
      <c r="AH5" s="31" t="s">
        <v>33</v>
      </c>
      <c r="AI5" s="31" t="s">
        <v>34</v>
      </c>
      <c r="AJ5" s="31" t="s">
        <v>35</v>
      </c>
      <c r="AK5" s="31" t="s">
        <v>36</v>
      </c>
      <c r="AL5" s="31" t="s">
        <v>37</v>
      </c>
      <c r="AM5" s="31" t="s">
        <v>38</v>
      </c>
      <c r="AN5" s="31" t="s">
        <v>39</v>
      </c>
      <c r="AO5" s="31" t="s">
        <v>40</v>
      </c>
      <c r="AP5" s="33"/>
      <c r="AQ5" s="34" t="s">
        <v>42</v>
      </c>
      <c r="AR5" s="31" t="s">
        <v>43</v>
      </c>
      <c r="AS5" s="31" t="s">
        <v>44</v>
      </c>
      <c r="AT5" s="31" t="s">
        <v>45</v>
      </c>
      <c r="AU5" s="31" t="s">
        <v>46</v>
      </c>
      <c r="AV5" s="11"/>
      <c r="AW5" s="11"/>
      <c r="AX5" s="11"/>
      <c r="AY5" s="11"/>
      <c r="AZ5" s="11"/>
      <c r="BA5" s="11"/>
      <c r="BB5" s="11"/>
    </row>
    <row r="6" spans="2:54" outlineLevel="1" x14ac:dyDescent="0.25">
      <c r="B6" s="36" t="s">
        <v>47</v>
      </c>
      <c r="C6" s="31"/>
      <c r="D6" s="31"/>
      <c r="E6" s="31"/>
      <c r="F6" s="31"/>
      <c r="G6" s="31"/>
      <c r="H6" s="31"/>
      <c r="I6" s="37"/>
      <c r="J6" s="37"/>
      <c r="K6" s="37"/>
      <c r="L6" s="35"/>
      <c r="M6" s="35"/>
      <c r="N6" s="35"/>
      <c r="O6" s="35"/>
      <c r="P6" s="35"/>
      <c r="Q6" s="35"/>
      <c r="R6" s="35"/>
      <c r="S6" s="35"/>
      <c r="T6" s="35"/>
      <c r="U6" s="35"/>
      <c r="V6" s="35"/>
      <c r="W6" s="35"/>
      <c r="X6" s="35"/>
      <c r="Y6" s="35"/>
    </row>
    <row r="7" spans="2:54" outlineLevel="1" x14ac:dyDescent="0.25">
      <c r="B7" s="39" t="s">
        <v>48</v>
      </c>
    </row>
    <row r="8" spans="2:54" hidden="1" outlineLevel="1" x14ac:dyDescent="0.25">
      <c r="B8" s="31" t="s">
        <v>49</v>
      </c>
      <c r="C8" s="40" t="s">
        <v>50</v>
      </c>
      <c r="D8" s="31" t="s">
        <v>51</v>
      </c>
      <c r="E8" s="31" t="s">
        <v>52</v>
      </c>
      <c r="F8" s="31" t="s">
        <v>52</v>
      </c>
      <c r="G8" s="31" t="s">
        <v>52</v>
      </c>
      <c r="H8" s="31"/>
      <c r="L8" s="38">
        <f>V8+Z8+AE8+AI8</f>
        <v>145277.20000000001</v>
      </c>
      <c r="M8" s="38"/>
      <c r="N8" s="38"/>
      <c r="O8" s="38"/>
      <c r="P8" s="38"/>
      <c r="Q8" s="38"/>
      <c r="R8" s="34">
        <v>5000</v>
      </c>
      <c r="S8" s="34">
        <v>10000</v>
      </c>
      <c r="T8" s="34">
        <v>5275.2</v>
      </c>
      <c r="U8" s="34">
        <v>1</v>
      </c>
      <c r="V8" s="38">
        <f>SUM(R8:U8)</f>
        <v>20276.2</v>
      </c>
      <c r="W8" s="34">
        <v>25000</v>
      </c>
      <c r="Y8" s="34">
        <v>1</v>
      </c>
      <c r="Z8" s="38">
        <f>SUM(W8:Y8)</f>
        <v>25001</v>
      </c>
      <c r="AE8" s="38">
        <f>SUM(AA8:AD8)</f>
        <v>0</v>
      </c>
      <c r="AH8" s="34">
        <v>100000</v>
      </c>
      <c r="AI8" s="34">
        <f>SUM(AF8:AH8)</f>
        <v>100000</v>
      </c>
      <c r="AJ8" s="38">
        <f>AI8+Z8</f>
        <v>125001</v>
      </c>
      <c r="AL8" s="34">
        <v>50000</v>
      </c>
      <c r="AM8" s="34">
        <v>1</v>
      </c>
      <c r="AN8" s="38">
        <f>+AJ8-AL8-AM8</f>
        <v>75000</v>
      </c>
      <c r="AO8" s="38"/>
      <c r="AP8" s="34">
        <v>2500</v>
      </c>
      <c r="AQ8" s="34">
        <v>8000</v>
      </c>
      <c r="AR8" s="38">
        <f>IF(AO8&gt;AP8+AQ8,AO8-AP8-AQ8,0)</f>
        <v>0</v>
      </c>
      <c r="AS8" s="38">
        <f>IF(AO8&gt;AP8+AQ8,0,AP8+AQ8-AO8)</f>
        <v>10500</v>
      </c>
      <c r="AT8" s="38">
        <f>IF(AO8&gt;AP8+AQ8,AP8+AQ8+AR8,AP8+AQ8-AS8)</f>
        <v>0</v>
      </c>
      <c r="AU8" s="35" t="s">
        <v>53</v>
      </c>
    </row>
    <row r="9" spans="2:54" ht="15.75" thickBot="1" x14ac:dyDescent="0.3">
      <c r="B9" s="41" t="s">
        <v>54</v>
      </c>
      <c r="C9" s="42"/>
      <c r="D9" s="42"/>
      <c r="E9" s="42"/>
      <c r="F9" s="42"/>
      <c r="G9" s="42"/>
      <c r="H9" s="42"/>
      <c r="I9" s="42"/>
      <c r="J9" s="42"/>
      <c r="K9" s="42"/>
      <c r="L9" s="43"/>
      <c r="M9" s="43"/>
      <c r="N9" s="43"/>
      <c r="O9" s="43"/>
      <c r="P9" s="43"/>
      <c r="Q9" s="43"/>
      <c r="R9" s="43"/>
      <c r="S9" s="43"/>
      <c r="T9" s="43"/>
      <c r="U9" s="43"/>
      <c r="V9" s="43"/>
      <c r="W9" s="43"/>
      <c r="X9" s="43"/>
      <c r="Y9" s="43"/>
      <c r="Z9" s="43"/>
      <c r="AA9" s="54">
        <v>32</v>
      </c>
      <c r="AB9" s="54">
        <v>33</v>
      </c>
      <c r="AC9" s="54">
        <v>34</v>
      </c>
      <c r="AD9" s="54">
        <v>35</v>
      </c>
      <c r="AE9" s="54">
        <v>36</v>
      </c>
      <c r="AF9" s="54">
        <v>37</v>
      </c>
      <c r="AG9" s="43"/>
      <c r="AH9" s="54" t="s">
        <v>71</v>
      </c>
      <c r="AI9" s="43"/>
      <c r="AJ9" s="43"/>
      <c r="AK9" s="43"/>
      <c r="AL9" s="43" t="s">
        <v>55</v>
      </c>
      <c r="AM9" s="43"/>
      <c r="AN9" s="43"/>
      <c r="AO9" s="43"/>
      <c r="AP9" s="43"/>
      <c r="AQ9" s="43"/>
      <c r="AR9" s="43"/>
      <c r="AS9" s="43"/>
      <c r="AT9" s="43"/>
      <c r="AU9" s="43"/>
    </row>
    <row r="10" spans="2:54" s="49" customFormat="1" x14ac:dyDescent="0.25">
      <c r="C10" s="44" t="s">
        <v>50</v>
      </c>
      <c r="E10" s="49" t="s">
        <v>69</v>
      </c>
      <c r="F10" s="49" t="s">
        <v>67</v>
      </c>
      <c r="G10" s="49" t="s">
        <v>64</v>
      </c>
      <c r="H10" s="37" t="s">
        <v>60</v>
      </c>
      <c r="I10" s="50">
        <v>43831</v>
      </c>
      <c r="J10" s="50">
        <v>44196</v>
      </c>
      <c r="K10" s="50"/>
      <c r="L10" s="46">
        <f t="shared" ref="L10:L11" si="0">V10+Z10+AE10+AI10</f>
        <v>346542.87</v>
      </c>
      <c r="M10" s="46"/>
      <c r="N10" s="46"/>
      <c r="O10" s="46"/>
      <c r="P10" s="46"/>
      <c r="Q10" s="46"/>
      <c r="R10" s="46"/>
      <c r="S10" s="46"/>
      <c r="T10" s="46"/>
      <c r="U10" s="46"/>
      <c r="V10" s="46">
        <f>SUM(R10:U10)</f>
        <v>0</v>
      </c>
      <c r="W10" s="46"/>
      <c r="X10" s="46"/>
      <c r="Y10" s="46"/>
      <c r="Z10" s="46"/>
      <c r="AA10" s="46">
        <v>34317.769999999997</v>
      </c>
      <c r="AB10" s="46">
        <v>10000</v>
      </c>
      <c r="AC10" s="46">
        <v>12101.499999999998</v>
      </c>
      <c r="AD10" s="46">
        <v>1820.92</v>
      </c>
      <c r="AE10" s="46">
        <f>SUM(AA10:AD10)</f>
        <v>58240.189999999995</v>
      </c>
      <c r="AF10" s="46">
        <v>287392.21999999997</v>
      </c>
      <c r="AG10" s="46">
        <v>0</v>
      </c>
      <c r="AH10" s="46">
        <v>910.46</v>
      </c>
      <c r="AI10" s="46">
        <f>SUM(AF10:AH10)</f>
        <v>288302.68</v>
      </c>
      <c r="AJ10" s="46">
        <f>AI10+Z10</f>
        <v>288302.68</v>
      </c>
      <c r="AK10" s="46"/>
      <c r="AL10" s="46">
        <v>250000</v>
      </c>
      <c r="AM10" s="46"/>
      <c r="AN10" s="46">
        <f>AJ10-AL10-AM10</f>
        <v>38302.679999999993</v>
      </c>
      <c r="AO10" s="53">
        <v>7661.3</v>
      </c>
      <c r="AP10" s="46">
        <v>0</v>
      </c>
      <c r="AQ10" s="46">
        <v>7661.3</v>
      </c>
      <c r="AR10" s="46">
        <f t="shared" ref="AR10:AR11" si="1">IF(AO10&gt;AP10+AQ10,AO10-AP10-AQ10,0)</f>
        <v>0</v>
      </c>
      <c r="AS10" s="46">
        <f t="shared" ref="AS10:AS11" si="2">IF(AO10&gt;AP10+AQ10,0,AP10+AQ10-AO10)</f>
        <v>0</v>
      </c>
      <c r="AT10" s="46">
        <f t="shared" ref="AT10:AT11" si="3">IF(AO10&gt;AP10+AQ10,AP10+AQ10+AR10,AP10+AQ10-AS10)</f>
        <v>7661.3</v>
      </c>
      <c r="AU10" s="51" t="s">
        <v>66</v>
      </c>
    </row>
    <row r="11" spans="2:54" s="49" customFormat="1" x14ac:dyDescent="0.25">
      <c r="C11" s="44" t="s">
        <v>57</v>
      </c>
      <c r="E11" s="49" t="s">
        <v>70</v>
      </c>
      <c r="F11" s="49" t="s">
        <v>68</v>
      </c>
      <c r="G11" s="49" t="s">
        <v>65</v>
      </c>
      <c r="H11" s="37" t="s">
        <v>60</v>
      </c>
      <c r="I11" s="50">
        <v>43831</v>
      </c>
      <c r="J11" s="50">
        <v>44043</v>
      </c>
      <c r="K11" s="50"/>
      <c r="L11" s="46">
        <f t="shared" si="0"/>
        <v>0</v>
      </c>
      <c r="M11" s="46"/>
      <c r="N11" s="46"/>
      <c r="O11" s="46"/>
      <c r="P11" s="46"/>
      <c r="Q11" s="46"/>
      <c r="R11" s="46"/>
      <c r="S11" s="46"/>
      <c r="T11" s="46"/>
      <c r="U11" s="46"/>
      <c r="V11" s="46">
        <f>SUM(R11:U11)</f>
        <v>0</v>
      </c>
      <c r="W11" s="46"/>
      <c r="X11" s="46"/>
      <c r="Y11" s="46"/>
      <c r="Z11" s="46"/>
      <c r="AA11" s="46"/>
      <c r="AB11" s="46"/>
      <c r="AC11" s="46"/>
      <c r="AD11" s="46"/>
      <c r="AE11" s="46"/>
      <c r="AF11" s="46"/>
      <c r="AG11" s="46">
        <v>0</v>
      </c>
      <c r="AH11" s="46"/>
      <c r="AI11" s="46">
        <f>SUM(AF11:AH11)</f>
        <v>0</v>
      </c>
      <c r="AJ11" s="46">
        <f>AI11+Z11</f>
        <v>0</v>
      </c>
      <c r="AK11" s="46"/>
      <c r="AL11" s="46">
        <v>250000</v>
      </c>
      <c r="AM11" s="46"/>
      <c r="AN11" s="46">
        <f>AJ11-AL11-AM11</f>
        <v>-250000</v>
      </c>
      <c r="AO11" s="46">
        <v>16241.56</v>
      </c>
      <c r="AP11" s="46">
        <v>0</v>
      </c>
      <c r="AQ11" s="46">
        <v>16241.56</v>
      </c>
      <c r="AR11" s="46">
        <f t="shared" si="1"/>
        <v>0</v>
      </c>
      <c r="AS11" s="46">
        <f t="shared" si="2"/>
        <v>0</v>
      </c>
      <c r="AT11" s="46">
        <f t="shared" si="3"/>
        <v>16241.56</v>
      </c>
      <c r="AU11" s="51" t="s">
        <v>56</v>
      </c>
    </row>
    <row r="12" spans="2:54" x14ac:dyDescent="0.25">
      <c r="B12" s="52"/>
      <c r="I12" s="45"/>
      <c r="J12" s="45"/>
      <c r="K12" s="45"/>
      <c r="L12" s="46"/>
      <c r="AE12" s="46"/>
      <c r="AI12" s="46"/>
      <c r="AJ12" s="46"/>
      <c r="AL12" s="46"/>
    </row>
    <row r="13" spans="2:54" x14ac:dyDescent="0.25">
      <c r="B13" s="52"/>
      <c r="I13" s="45"/>
      <c r="J13" s="45"/>
      <c r="K13" s="45"/>
      <c r="L13" s="46"/>
      <c r="AE13" s="46"/>
      <c r="AI13" s="46"/>
      <c r="AJ13" s="46"/>
      <c r="AL13" s="46"/>
    </row>
    <row r="14" spans="2:54" x14ac:dyDescent="0.25">
      <c r="B14" s="52"/>
      <c r="I14" s="45"/>
      <c r="J14" s="45"/>
      <c r="K14" s="45"/>
      <c r="L14" s="46"/>
      <c r="AE14" s="46"/>
      <c r="AI14" s="46"/>
      <c r="AJ14" s="46"/>
      <c r="AL14" s="46"/>
    </row>
    <row r="15" spans="2:54" x14ac:dyDescent="0.25">
      <c r="B15" s="52"/>
      <c r="I15" s="45"/>
      <c r="J15" s="45"/>
      <c r="K15" s="45"/>
      <c r="L15" s="46"/>
      <c r="AE15" s="46"/>
      <c r="AI15" s="46"/>
      <c r="AJ15" s="46"/>
      <c r="AL15" s="46"/>
    </row>
    <row r="16" spans="2:54" x14ac:dyDescent="0.25">
      <c r="B16" s="52"/>
      <c r="I16" s="45"/>
      <c r="J16" s="45"/>
      <c r="K16" s="45"/>
      <c r="L16" s="46"/>
      <c r="AE16" s="46"/>
      <c r="AI16" s="46"/>
      <c r="AJ16" s="46"/>
      <c r="AL16" s="46"/>
    </row>
    <row r="17" spans="2:38" x14ac:dyDescent="0.25">
      <c r="B17" s="52"/>
      <c r="I17" s="45"/>
      <c r="J17" s="45"/>
      <c r="K17" s="45"/>
      <c r="L17" s="46"/>
      <c r="AE17" s="46"/>
      <c r="AI17" s="46"/>
      <c r="AJ17" s="46"/>
      <c r="AL17" s="46"/>
    </row>
    <row r="18" spans="2:38" x14ac:dyDescent="0.25">
      <c r="B18" s="52"/>
      <c r="I18" s="45"/>
      <c r="J18" s="45"/>
      <c r="K18" s="45"/>
      <c r="L18" s="46"/>
      <c r="AE18" s="46"/>
      <c r="AI18" s="46"/>
      <c r="AJ18" s="46"/>
      <c r="AL18" s="46"/>
    </row>
    <row r="19" spans="2:38" x14ac:dyDescent="0.25">
      <c r="B19" s="52"/>
      <c r="I19" s="45"/>
      <c r="J19" s="45"/>
      <c r="K19" s="45"/>
      <c r="L19" s="46"/>
      <c r="AE19" s="46"/>
      <c r="AI19" s="46"/>
      <c r="AJ19" s="46"/>
      <c r="AL19" s="46"/>
    </row>
    <row r="20" spans="2:38" x14ac:dyDescent="0.25">
      <c r="B20" s="52"/>
      <c r="I20" s="45"/>
      <c r="J20" s="45"/>
      <c r="K20" s="45"/>
      <c r="L20" s="46"/>
      <c r="AE20" s="46"/>
      <c r="AI20" s="46"/>
      <c r="AJ20" s="46"/>
      <c r="AL20" s="46"/>
    </row>
  </sheetData>
  <mergeCells count="6">
    <mergeCell ref="Q3:Q5"/>
    <mergeCell ref="H1:H3"/>
    <mergeCell ref="L2:L3"/>
    <mergeCell ref="K2:K4"/>
    <mergeCell ref="M3:M4"/>
    <mergeCell ref="N3:N4"/>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Sched 1. Non-MWE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 I. Pestano</dc:creator>
  <cp:lastModifiedBy>Jundrie A. Tano</cp:lastModifiedBy>
  <dcterms:created xsi:type="dcterms:W3CDTF">2020-01-08T01:53:29Z</dcterms:created>
  <dcterms:modified xsi:type="dcterms:W3CDTF">2022-02-04T07:58:23Z</dcterms:modified>
</cp:coreProperties>
</file>