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xampp\htdocs\pmc\bir\bir\2021\davao\app\template\"/>
    </mc:Choice>
  </mc:AlternateContent>
  <xr:revisionPtr revIDLastSave="0" documentId="13_ncr:1_{596EF1AA-48A9-4EF4-987E-CEDCBAA0416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WE Template" sheetId="1" r:id="rId1"/>
  </sheets>
  <externalReferences>
    <externalReference r:id="rId2"/>
  </externalReferences>
  <definedNames>
    <definedName name="_xlnm._FilterDatabase" localSheetId="0" hidden="1">'MWE Template'!$AS$2:$AS$77</definedName>
    <definedName name="BonusRate">[1]Assumptions!$C$7</definedName>
    <definedName name="Meterage">[1]Assumptions!$C$5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6" i="1" l="1"/>
  <c r="AM77" i="1" l="1"/>
  <c r="AB77" i="1"/>
  <c r="AC77" i="1" s="1"/>
  <c r="AA77" i="1"/>
  <c r="AM76" i="1"/>
  <c r="AB76" i="1"/>
  <c r="AA76" i="1" s="1"/>
  <c r="AM75" i="1"/>
  <c r="AC75" i="1"/>
  <c r="AB75" i="1"/>
  <c r="AA75" i="1" s="1"/>
  <c r="AM74" i="1"/>
  <c r="AB74" i="1"/>
  <c r="AC74" i="1" s="1"/>
  <c r="AM73" i="1"/>
  <c r="AB73" i="1"/>
  <c r="AC73" i="1" s="1"/>
  <c r="AM72" i="1"/>
  <c r="AB72" i="1"/>
  <c r="AC72" i="1" s="1"/>
  <c r="AA72" i="1"/>
  <c r="AM71" i="1"/>
  <c r="AB71" i="1"/>
  <c r="AC71" i="1" s="1"/>
  <c r="AM70" i="1"/>
  <c r="AB70" i="1"/>
  <c r="AC70" i="1" s="1"/>
  <c r="AM69" i="1"/>
  <c r="AB69" i="1"/>
  <c r="AC69" i="1" s="1"/>
  <c r="AM68" i="1"/>
  <c r="AB68" i="1"/>
  <c r="AA68" i="1" s="1"/>
  <c r="AM67" i="1"/>
  <c r="AB67" i="1"/>
  <c r="AC67" i="1" s="1"/>
  <c r="AM66" i="1"/>
  <c r="AB66" i="1"/>
  <c r="AC66" i="1" s="1"/>
  <c r="AM65" i="1"/>
  <c r="AB65" i="1"/>
  <c r="AC65" i="1" s="1"/>
  <c r="AA65" i="1"/>
  <c r="AM64" i="1"/>
  <c r="AB64" i="1"/>
  <c r="AC64" i="1" s="1"/>
  <c r="AM63" i="1"/>
  <c r="AB63" i="1"/>
  <c r="AC63" i="1" s="1"/>
  <c r="AA63" i="1"/>
  <c r="AM62" i="1"/>
  <c r="AB62" i="1"/>
  <c r="AC62" i="1" s="1"/>
  <c r="AM61" i="1"/>
  <c r="AB61" i="1"/>
  <c r="AC61" i="1" s="1"/>
  <c r="AA61" i="1"/>
  <c r="AM60" i="1"/>
  <c r="AB60" i="1"/>
  <c r="AA60" i="1" s="1"/>
  <c r="AM59" i="1"/>
  <c r="AB59" i="1"/>
  <c r="AC59" i="1" s="1"/>
  <c r="AM58" i="1"/>
  <c r="AB58" i="1"/>
  <c r="AC58" i="1" s="1"/>
  <c r="AM57" i="1"/>
  <c r="AB57" i="1"/>
  <c r="AC57" i="1" s="1"/>
  <c r="AM56" i="1"/>
  <c r="AB56" i="1"/>
  <c r="AC56" i="1" s="1"/>
  <c r="AM55" i="1"/>
  <c r="AB55" i="1"/>
  <c r="AC55" i="1" s="1"/>
  <c r="AA55" i="1"/>
  <c r="AM54" i="1"/>
  <c r="AB54" i="1"/>
  <c r="AC54" i="1" s="1"/>
  <c r="AM53" i="1"/>
  <c r="AB53" i="1"/>
  <c r="AC53" i="1" s="1"/>
  <c r="AA53" i="1"/>
  <c r="AM52" i="1"/>
  <c r="AB52" i="1"/>
  <c r="AA52" i="1" s="1"/>
  <c r="AM51" i="1"/>
  <c r="AB51" i="1"/>
  <c r="AC51" i="1" s="1"/>
  <c r="AM50" i="1"/>
  <c r="AB50" i="1"/>
  <c r="AC50" i="1" s="1"/>
  <c r="AM49" i="1"/>
  <c r="AB49" i="1"/>
  <c r="AC49" i="1" s="1"/>
  <c r="AM48" i="1"/>
  <c r="AB48" i="1"/>
  <c r="AC48" i="1" s="1"/>
  <c r="AM47" i="1"/>
  <c r="AB47" i="1"/>
  <c r="AC47" i="1" s="1"/>
  <c r="AA47" i="1"/>
  <c r="AM46" i="1"/>
  <c r="AB46" i="1"/>
  <c r="AC46" i="1" s="1"/>
  <c r="AM45" i="1"/>
  <c r="AB45" i="1"/>
  <c r="AC45" i="1" s="1"/>
  <c r="AA45" i="1"/>
  <c r="AM44" i="1"/>
  <c r="AB44" i="1"/>
  <c r="AA44" i="1" s="1"/>
  <c r="AM43" i="1"/>
  <c r="AC43" i="1"/>
  <c r="AB43" i="1"/>
  <c r="AA43" i="1" s="1"/>
  <c r="AM42" i="1"/>
  <c r="AB42" i="1"/>
  <c r="AC42" i="1" s="1"/>
  <c r="AM41" i="1"/>
  <c r="AB41" i="1"/>
  <c r="AC41" i="1" s="1"/>
  <c r="AM40" i="1"/>
  <c r="AB40" i="1"/>
  <c r="AC40" i="1" s="1"/>
  <c r="AM39" i="1"/>
  <c r="AB39" i="1"/>
  <c r="AC39" i="1" s="1"/>
  <c r="AA39" i="1"/>
  <c r="AM38" i="1"/>
  <c r="AB38" i="1"/>
  <c r="AA38" i="1" s="1"/>
  <c r="AM37" i="1"/>
  <c r="AB37" i="1"/>
  <c r="AC37" i="1" s="1"/>
  <c r="AA37" i="1"/>
  <c r="AM36" i="1"/>
  <c r="AB36" i="1"/>
  <c r="AA36" i="1" s="1"/>
  <c r="AM35" i="1"/>
  <c r="AB35" i="1"/>
  <c r="AC35" i="1" s="1"/>
  <c r="AM34" i="1"/>
  <c r="AB34" i="1"/>
  <c r="AC34" i="1" s="1"/>
  <c r="AA34" i="1"/>
  <c r="AM33" i="1"/>
  <c r="AB33" i="1"/>
  <c r="AC33" i="1" s="1"/>
  <c r="AM32" i="1"/>
  <c r="AB32" i="1"/>
  <c r="AC32" i="1" s="1"/>
  <c r="AA32" i="1"/>
  <c r="AM31" i="1"/>
  <c r="AB31" i="1"/>
  <c r="AA31" i="1" s="1"/>
  <c r="AM30" i="1"/>
  <c r="AB30" i="1"/>
  <c r="AA30" i="1" s="1"/>
  <c r="AM29" i="1"/>
  <c r="AB29" i="1"/>
  <c r="AC29" i="1" s="1"/>
  <c r="AA29" i="1"/>
  <c r="AM28" i="1"/>
  <c r="AB28" i="1"/>
  <c r="AA28" i="1" s="1"/>
  <c r="AM27" i="1"/>
  <c r="AB27" i="1"/>
  <c r="AC27" i="1" s="1"/>
  <c r="AM26" i="1"/>
  <c r="AB26" i="1"/>
  <c r="AC26" i="1" s="1"/>
  <c r="AM25" i="1"/>
  <c r="AB25" i="1"/>
  <c r="AC25" i="1" s="1"/>
  <c r="AA25" i="1"/>
  <c r="AM24" i="1"/>
  <c r="AB24" i="1"/>
  <c r="AC24" i="1" s="1"/>
  <c r="AM23" i="1"/>
  <c r="AB23" i="1"/>
  <c r="AA23" i="1" s="1"/>
  <c r="AM22" i="1"/>
  <c r="AB22" i="1"/>
  <c r="AC22" i="1" s="1"/>
  <c r="AA22" i="1"/>
  <c r="AM21" i="1"/>
  <c r="AB21" i="1"/>
  <c r="AC21" i="1" s="1"/>
  <c r="AM20" i="1"/>
  <c r="AB20" i="1"/>
  <c r="AA20" i="1" s="1"/>
  <c r="AM19" i="1"/>
  <c r="AB19" i="1"/>
  <c r="AC19" i="1" s="1"/>
  <c r="AM18" i="1"/>
  <c r="AB18" i="1"/>
  <c r="AC18" i="1" s="1"/>
  <c r="AM17" i="1"/>
  <c r="AB17" i="1"/>
  <c r="AC17" i="1" s="1"/>
  <c r="AA17" i="1"/>
  <c r="AM16" i="1"/>
  <c r="AB16" i="1"/>
  <c r="AC16" i="1" s="1"/>
  <c r="AM15" i="1"/>
  <c r="AB15" i="1"/>
  <c r="AC15" i="1" s="1"/>
  <c r="AM14" i="1"/>
  <c r="AB14" i="1"/>
  <c r="AC14" i="1" s="1"/>
  <c r="AA14" i="1"/>
  <c r="AM13" i="1"/>
  <c r="AB13" i="1"/>
  <c r="AC13" i="1" s="1"/>
  <c r="AM12" i="1"/>
  <c r="AB12" i="1"/>
  <c r="AA12" i="1" s="1"/>
  <c r="AM11" i="1"/>
  <c r="AB11" i="1"/>
  <c r="AC11" i="1" s="1"/>
  <c r="AM10" i="1"/>
  <c r="AB10" i="1"/>
  <c r="AA10" i="1" s="1"/>
  <c r="AM9" i="1"/>
  <c r="AB9" i="1"/>
  <c r="AC9" i="1" s="1"/>
  <c r="AM8" i="1"/>
  <c r="AB8" i="1"/>
  <c r="AB6" i="1"/>
  <c r="AC6" i="1" s="1"/>
  <c r="AA6" i="1"/>
  <c r="Y6" i="1"/>
  <c r="AA9" i="1" l="1"/>
  <c r="AA16" i="1"/>
  <c r="AA33" i="1"/>
  <c r="AA46" i="1"/>
  <c r="AA48" i="1"/>
  <c r="AA54" i="1"/>
  <c r="AA56" i="1"/>
  <c r="AA62" i="1"/>
  <c r="AA64" i="1"/>
  <c r="AA70" i="1"/>
  <c r="AA49" i="1"/>
  <c r="AA57" i="1"/>
  <c r="AA69" i="1"/>
  <c r="AA71" i="1"/>
  <c r="AC8" i="1"/>
  <c r="AA8" i="1"/>
  <c r="AC38" i="1"/>
  <c r="AA41" i="1"/>
  <c r="AA73" i="1"/>
  <c r="AC31" i="1"/>
  <c r="AC10" i="1"/>
  <c r="AA15" i="1"/>
  <c r="AA21" i="1"/>
  <c r="AC23" i="1"/>
  <c r="AA26" i="1"/>
  <c r="AC30" i="1"/>
  <c r="AA13" i="1"/>
  <c r="AA24" i="1"/>
  <c r="AA40" i="1"/>
  <c r="AC60" i="1"/>
  <c r="AC76" i="1"/>
  <c r="AA11" i="1"/>
  <c r="AA19" i="1"/>
  <c r="AA27" i="1"/>
  <c r="AA35" i="1"/>
  <c r="AA51" i="1"/>
  <c r="AA59" i="1"/>
  <c r="AA67" i="1"/>
  <c r="AC20" i="1"/>
  <c r="AC68" i="1"/>
  <c r="AC36" i="1"/>
  <c r="AA18" i="1"/>
  <c r="AA42" i="1"/>
  <c r="AA50" i="1"/>
  <c r="AA58" i="1"/>
  <c r="AA66" i="1"/>
  <c r="AA74" i="1"/>
  <c r="AC12" i="1"/>
  <c r="AC28" i="1"/>
  <c r="AC44" i="1"/>
  <c r="AC5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Abraham I. Pestano</author>
    <author>armand_dy</author>
  </authors>
  <commentList>
    <comment ref="J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Abe:</t>
        </r>
        <r>
          <rPr>
            <sz val="9"/>
            <color indexed="81"/>
            <rFont val="Tahoma"/>
            <family val="2"/>
          </rPr>
          <t xml:space="preserve">
Put any of the following symbols, as applicable
T - Terminated/Resigned
TR - Transferred
R - Retirement
D - Death</t>
        </r>
      </text>
    </comment>
    <comment ref="G5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armand_dy:</t>
        </r>
        <r>
          <rPr>
            <sz val="9"/>
            <color indexed="81"/>
            <rFont val="Tahoma"/>
            <family val="2"/>
          </rPr>
          <t xml:space="preserve">
Region Where Assigned
Region XIII Caraga</t>
        </r>
      </text>
    </comment>
    <comment ref="H5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armand_dy:</t>
        </r>
        <r>
          <rPr>
            <sz val="9"/>
            <color indexed="81"/>
            <rFont val="Tahoma"/>
            <family val="2"/>
          </rPr>
          <t xml:space="preserve">
Coverage: From</t>
        </r>
      </text>
    </comment>
    <comment ref="I5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armand_dy:</t>
        </r>
        <r>
          <rPr>
            <sz val="9"/>
            <color indexed="81"/>
            <rFont val="Tahoma"/>
            <family val="2"/>
          </rPr>
          <t xml:space="preserve">
Coverage To</t>
        </r>
      </text>
    </comment>
    <comment ref="T5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armand_dy:</t>
        </r>
        <r>
          <rPr>
            <sz val="9"/>
            <color indexed="81"/>
            <rFont val="Tahoma"/>
            <family val="2"/>
          </rPr>
          <t xml:space="preserve">
Non Tax Salaries and Other forms of Non Tax Compensation</t>
        </r>
      </text>
    </comment>
    <comment ref="U5" authorId="1" shapeId="0" xr:uid="{00000000-0006-0000-0000-000006000000}">
      <text>
        <r>
          <rPr>
            <b/>
            <sz val="9"/>
            <color indexed="81"/>
            <rFont val="Tahoma"/>
            <family val="2"/>
          </rPr>
          <t>armand_dy:</t>
        </r>
        <r>
          <rPr>
            <sz val="9"/>
            <color indexed="81"/>
            <rFont val="Tahoma"/>
            <family val="2"/>
          </rPr>
          <t xml:space="preserve">
Total = (BasicSMW_02 : OtherSal_10)</t>
        </r>
      </text>
    </comment>
    <comment ref="V5" authorId="1" shapeId="0" xr:uid="{00000000-0006-0000-0000-000007000000}">
      <text>
        <r>
          <rPr>
            <b/>
            <sz val="9"/>
            <color indexed="81"/>
            <rFont val="Tahoma"/>
            <family val="2"/>
          </rPr>
          <t>armand_dy:</t>
        </r>
        <r>
          <rPr>
            <sz val="9"/>
            <color indexed="81"/>
            <rFont val="Tahoma"/>
            <family val="2"/>
          </rPr>
          <t xml:space="preserve">
Taxable Portion of the 13th month and other benefits
In excess of 82K
</t>
        </r>
      </text>
    </comment>
    <comment ref="X5" authorId="1" shapeId="0" xr:uid="{00000000-0006-0000-0000-000008000000}">
      <text>
        <r>
          <rPr>
            <b/>
            <sz val="9"/>
            <color indexed="81"/>
            <rFont val="Tahoma"/>
            <family val="2"/>
          </rPr>
          <t>armand_dy:</t>
        </r>
        <r>
          <rPr>
            <sz val="9"/>
            <color indexed="81"/>
            <rFont val="Tahoma"/>
            <family val="2"/>
          </rPr>
          <t xml:space="preserve">
Total = 13thMonth_12 + SalariesOthers_13</t>
        </r>
      </text>
    </comment>
    <comment ref="Z5" authorId="1" shapeId="0" xr:uid="{00000000-0006-0000-0000-000009000000}">
      <text>
        <r>
          <rPr>
            <b/>
            <sz val="9"/>
            <color indexed="81"/>
            <rFont val="Tahoma"/>
            <family val="2"/>
          </rPr>
          <t>armand_dy:
Standard</t>
        </r>
        <r>
          <rPr>
            <sz val="9"/>
            <color indexed="81"/>
            <rFont val="Tahoma"/>
            <family val="2"/>
          </rPr>
          <t xml:space="preserve">
Min Wage Rate 
Region XIII</t>
        </r>
      </text>
    </comment>
    <comment ref="AA5" authorId="1" shapeId="0" xr:uid="{00000000-0006-0000-0000-00000A000000}">
      <text>
        <r>
          <rPr>
            <b/>
            <sz val="9"/>
            <color indexed="81"/>
            <rFont val="Tahoma"/>
            <family val="2"/>
          </rPr>
          <t>armand_dy:</t>
        </r>
        <r>
          <rPr>
            <sz val="9"/>
            <color indexed="81"/>
            <rFont val="Tahoma"/>
            <family val="2"/>
          </rPr>
          <t xml:space="preserve">
Standard</t>
        </r>
      </text>
    </comment>
    <comment ref="AB5" authorId="1" shapeId="0" xr:uid="{00000000-0006-0000-0000-00000B000000}">
      <text>
        <r>
          <rPr>
            <b/>
            <sz val="9"/>
            <color indexed="81"/>
            <rFont val="Tahoma"/>
            <family val="2"/>
          </rPr>
          <t>armand_dy:</t>
        </r>
        <r>
          <rPr>
            <sz val="9"/>
            <color indexed="81"/>
            <rFont val="Tahoma"/>
            <family val="2"/>
          </rPr>
          <t xml:space="preserve">
Standard</t>
        </r>
      </text>
    </comment>
    <comment ref="AD5" authorId="1" shapeId="0" xr:uid="{00000000-0006-0000-0000-00000C000000}">
      <text>
        <r>
          <rPr>
            <b/>
            <sz val="9"/>
            <color indexed="81"/>
            <rFont val="Tahoma"/>
            <family val="2"/>
          </rPr>
          <t>armand_dy:</t>
        </r>
        <r>
          <rPr>
            <sz val="9"/>
            <color indexed="81"/>
            <rFont val="Tahoma"/>
            <family val="2"/>
          </rPr>
          <t xml:space="preserve">
Actual Basic Pay (min. wage)</t>
        </r>
      </text>
    </comment>
    <comment ref="AK5" authorId="1" shapeId="0" xr:uid="{00000000-0006-0000-0000-00000D000000}">
      <text>
        <r>
          <rPr>
            <b/>
            <sz val="9"/>
            <color indexed="81"/>
            <rFont val="Tahoma"/>
            <family val="2"/>
          </rPr>
          <t>armand_dy:</t>
        </r>
        <r>
          <rPr>
            <sz val="9"/>
            <color indexed="81"/>
            <rFont val="Tahoma"/>
            <family val="2"/>
          </rPr>
          <t xml:space="preserve">
SSS, PHIC, HDMF, Union</t>
        </r>
      </text>
    </comment>
    <comment ref="AL5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Abe:</t>
        </r>
        <r>
          <rPr>
            <sz val="9"/>
            <color indexed="81"/>
            <rFont val="Tahoma"/>
            <family val="2"/>
          </rPr>
          <t xml:space="preserve">
OE Tax + OE Non Tax</t>
        </r>
      </text>
    </comment>
    <comment ref="AO5" authorId="1" shapeId="0" xr:uid="{00000000-0006-0000-0000-00000F000000}">
      <text>
        <r>
          <rPr>
            <b/>
            <sz val="9"/>
            <color indexed="81"/>
            <rFont val="Tahoma"/>
            <family val="2"/>
          </rPr>
          <t>armand_dy:</t>
        </r>
        <r>
          <rPr>
            <sz val="9"/>
            <color indexed="81"/>
            <rFont val="Tahoma"/>
            <family val="2"/>
          </rPr>
          <t xml:space="preserve">
Taxable Portion of the 13th month and other benefits
In excess of 82K
</t>
        </r>
      </text>
    </comment>
    <comment ref="AR5" authorId="1" shapeId="0" xr:uid="{00000000-0006-0000-0000-000010000000}">
      <text>
        <r>
          <rPr>
            <b/>
            <sz val="9"/>
            <color indexed="81"/>
            <rFont val="Tahoma"/>
            <family val="2"/>
          </rPr>
          <t>armand_dy:</t>
        </r>
        <r>
          <rPr>
            <sz val="9"/>
            <color indexed="81"/>
            <rFont val="Tahoma"/>
            <family val="2"/>
          </rPr>
          <t xml:space="preserve">
Previous + Current</t>
        </r>
      </text>
    </comment>
    <comment ref="AS5" authorId="0" shapeId="0" xr:uid="{00000000-0006-0000-0000-000011000000}">
      <text>
        <r>
          <rPr>
            <b/>
            <sz val="9"/>
            <color indexed="81"/>
            <rFont val="Tahoma"/>
            <charset val="1"/>
          </rPr>
          <t>Abe:</t>
        </r>
        <r>
          <rPr>
            <sz val="9"/>
            <color indexed="81"/>
            <rFont val="Tahoma"/>
            <charset val="1"/>
          </rPr>
          <t xml:space="preserve">
Disregard this column</t>
        </r>
      </text>
    </comment>
    <comment ref="AU5" authorId="1" shapeId="0" xr:uid="{00000000-0006-0000-0000-000012000000}">
      <text>
        <r>
          <rPr>
            <b/>
            <sz val="9"/>
            <color indexed="81"/>
            <rFont val="Tahoma"/>
            <family val="2"/>
          </rPr>
          <t>armand_dy:</t>
        </r>
        <r>
          <rPr>
            <sz val="9"/>
            <color indexed="81"/>
            <rFont val="Tahoma"/>
            <family val="2"/>
          </rPr>
          <t xml:space="preserve">
Premium Paid on Health &amp; Other Hosp Insurance
If employees has one and Provided Gross Compensation should not exceed 250K
</t>
        </r>
      </text>
    </comment>
    <comment ref="AW5" authorId="1" shapeId="0" xr:uid="{00000000-0006-0000-0000-000013000000}">
      <text>
        <r>
          <rPr>
            <b/>
            <sz val="9"/>
            <color indexed="81"/>
            <rFont val="Tahoma"/>
            <family val="2"/>
          </rPr>
          <t>armand_dy:</t>
        </r>
        <r>
          <rPr>
            <sz val="9"/>
            <color indexed="81"/>
            <rFont val="Tahoma"/>
            <family val="2"/>
          </rPr>
          <t xml:space="preserve">
Jan - Dec (1 year)
Tax Table</t>
        </r>
      </text>
    </comment>
    <comment ref="AZ5" authorId="1" shapeId="0" xr:uid="{00000000-0006-0000-0000-000014000000}">
      <text>
        <r>
          <rPr>
            <b/>
            <sz val="9"/>
            <color indexed="81"/>
            <rFont val="Tahoma"/>
            <family val="2"/>
          </rPr>
          <t>armand_dy:</t>
        </r>
        <r>
          <rPr>
            <sz val="9"/>
            <color indexed="81"/>
            <rFont val="Tahoma"/>
            <family val="2"/>
          </rPr>
          <t xml:space="preserve">
Amount withheld &amp; Paid for in Succeding Months
</t>
        </r>
      </text>
    </comment>
    <comment ref="BA5" authorId="1" shapeId="0" xr:uid="{00000000-0006-0000-0000-000015000000}">
      <text>
        <r>
          <rPr>
            <b/>
            <sz val="9"/>
            <color indexed="81"/>
            <rFont val="Tahoma"/>
            <family val="2"/>
          </rPr>
          <t>armand_dy:</t>
        </r>
        <r>
          <rPr>
            <sz val="9"/>
            <color indexed="81"/>
            <rFont val="Tahoma"/>
            <family val="2"/>
          </rPr>
          <t xml:space="preserve">
Over withheld Tax Refunded to Employees</t>
        </r>
      </text>
    </comment>
    <comment ref="BB5" authorId="1" shapeId="0" xr:uid="{00000000-0006-0000-0000-000016000000}">
      <text>
        <r>
          <rPr>
            <b/>
            <sz val="9"/>
            <color indexed="81"/>
            <rFont val="Tahoma"/>
            <family val="2"/>
          </rPr>
          <t>armand_dy:</t>
        </r>
        <r>
          <rPr>
            <sz val="9"/>
            <color indexed="81"/>
            <rFont val="Tahoma"/>
            <family val="2"/>
          </rPr>
          <t xml:space="preserve">
Amount of Tax withheld as adjusted.
This will reflected in form 2316</t>
        </r>
      </text>
    </comment>
    <comment ref="BC5" authorId="1" shapeId="0" xr:uid="{00000000-0006-0000-0000-000017000000}">
      <text>
        <r>
          <rPr>
            <b/>
            <sz val="9"/>
            <color indexed="81"/>
            <rFont val="Tahoma"/>
            <family val="2"/>
          </rPr>
          <t>armand_dy:</t>
        </r>
        <r>
          <rPr>
            <sz val="9"/>
            <color indexed="81"/>
            <rFont val="Tahoma"/>
            <family val="2"/>
          </rPr>
          <t xml:space="preserve">
Y or N
Substituted Filing</t>
        </r>
      </text>
    </comment>
  </commentList>
</comments>
</file>

<file path=xl/sharedStrings.xml><?xml version="1.0" encoding="utf-8"?>
<sst xmlns="http://schemas.openxmlformats.org/spreadsheetml/2006/main" count="76" uniqueCount="74">
  <si>
    <t>Name of Employees</t>
  </si>
  <si>
    <t>Gross Compensation Income</t>
  </si>
  <si>
    <t>Previous Employer</t>
  </si>
  <si>
    <t>Present Employer</t>
  </si>
  <si>
    <t>Current Employer</t>
  </si>
  <si>
    <t>Non Taxable</t>
  </si>
  <si>
    <t>Taxable</t>
  </si>
  <si>
    <t>Tax Withheld</t>
  </si>
  <si>
    <t>Year End Adjustment</t>
  </si>
  <si>
    <t>ScheType</t>
  </si>
  <si>
    <t>SeqNo</t>
  </si>
  <si>
    <t>TIN_No</t>
  </si>
  <si>
    <t>LastName</t>
  </si>
  <si>
    <t>FirstName</t>
  </si>
  <si>
    <t>MidName</t>
  </si>
  <si>
    <t>RegionNum</t>
  </si>
  <si>
    <t>EmploymentFrom</t>
  </si>
  <si>
    <t>EmploymentTo</t>
  </si>
  <si>
    <t>GrossComp_01</t>
  </si>
  <si>
    <t>BasicSMW_02</t>
  </si>
  <si>
    <t>HolidayPay_03</t>
  </si>
  <si>
    <t>Overtime_04</t>
  </si>
  <si>
    <t>NightShiftDif_05</t>
  </si>
  <si>
    <t>HazardPay_06</t>
  </si>
  <si>
    <t>13thMoOthers_07</t>
  </si>
  <si>
    <t>Deminis_08</t>
  </si>
  <si>
    <t>Statutories_09</t>
  </si>
  <si>
    <t>OtherSal_10</t>
  </si>
  <si>
    <t>Total_NT_11</t>
  </si>
  <si>
    <t>13thMonth_12</t>
  </si>
  <si>
    <t>SalariesOthers_13</t>
  </si>
  <si>
    <t>TotalTaxable_14</t>
  </si>
  <si>
    <t>GrossComp_15</t>
  </si>
  <si>
    <t>BasicPerDay_16</t>
  </si>
  <si>
    <t>BasicPerMo_17</t>
  </si>
  <si>
    <t>BasicPerYr_18</t>
  </si>
  <si>
    <t>DaysOfYear_19</t>
  </si>
  <si>
    <t>BasicStatMinW</t>
  </si>
  <si>
    <t>HolidayPay_20</t>
  </si>
  <si>
    <t>OverTime_21</t>
  </si>
  <si>
    <t>NightDiff_22</t>
  </si>
  <si>
    <t>HazardPay_23</t>
  </si>
  <si>
    <t>13thMoOthers_24</t>
  </si>
  <si>
    <t>DeMinimis_25</t>
  </si>
  <si>
    <t>Statutory_26</t>
  </si>
  <si>
    <t>OtherSal_27</t>
  </si>
  <si>
    <t>Total_NT_28</t>
  </si>
  <si>
    <t>TaxableBasic</t>
  </si>
  <si>
    <t>13thMonth_29</t>
  </si>
  <si>
    <t>SalariesOthers_30</t>
  </si>
  <si>
    <t>TotalTaxable_31</t>
  </si>
  <si>
    <t>TotalTaxComp_32</t>
  </si>
  <si>
    <t>Code_33</t>
  </si>
  <si>
    <t>Amount_34</t>
  </si>
  <si>
    <t>PremiumPaidHeal_35</t>
  </si>
  <si>
    <t>NetTaxableComp_36</t>
  </si>
  <si>
    <t>Tax_Due_Full_37</t>
  </si>
  <si>
    <t>PrevEmployer_38</t>
  </si>
  <si>
    <t>PresentEmployer_39</t>
  </si>
  <si>
    <t>WheldPaidDec_40</t>
  </si>
  <si>
    <t>OverWithRef_41</t>
  </si>
  <si>
    <t>AmountWheldAdj_42</t>
  </si>
  <si>
    <t>SubsFile_43</t>
  </si>
  <si>
    <t>01</t>
  </si>
  <si>
    <t>Y</t>
  </si>
  <si>
    <t>Reason for Separation
If Applicable</t>
  </si>
  <si>
    <t>Exemption</t>
  </si>
  <si>
    <t>N</t>
  </si>
  <si>
    <t>313-684-160-000</t>
  </si>
  <si>
    <t>Duterte</t>
  </si>
  <si>
    <t>Rodrigo</t>
  </si>
  <si>
    <t>Roa</t>
  </si>
  <si>
    <t>XI</t>
  </si>
  <si>
    <t>Dept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</si>
</sst>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,##0.00_);\-#,##0.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650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1" applyNumberFormat="0" applyFont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</cellStyleXfs>
  <cellXfs count="52">
    <xf numFmtId="0" fontId="0" fillId="0" borderId="0" xfId="0"/>
    <xf numFmtId="0" fontId="6" fillId="0" borderId="0" xfId="0" applyFont="1"/>
    <xf numFmtId="0" fontId="7" fillId="6" borderId="0" xfId="6" applyAlignment="1">
      <alignment horizontal="center"/>
    </xf>
    <xf numFmtId="0" fontId="7" fillId="8" borderId="0" xfId="8"/>
    <xf numFmtId="0" fontId="8" fillId="2" borderId="0" xfId="2" applyFont="1" applyAlignment="1">
      <alignment horizontal="centerContinuous"/>
    </xf>
    <xf numFmtId="0" fontId="7" fillId="9" borderId="0" xfId="9"/>
    <xf numFmtId="0" fontId="5" fillId="11" borderId="0" xfId="11" applyFont="1"/>
    <xf numFmtId="0" fontId="5" fillId="8" borderId="2" xfId="8" applyFont="1" applyBorder="1" applyAlignment="1">
      <alignment horizontal="centerContinuous"/>
    </xf>
    <xf numFmtId="0" fontId="5" fillId="8" borderId="1" xfId="8" applyFont="1" applyBorder="1" applyAlignment="1">
      <alignment horizontal="centerContinuous"/>
    </xf>
    <xf numFmtId="0" fontId="5" fillId="8" borderId="3" xfId="8" applyFont="1" applyBorder="1" applyAlignment="1">
      <alignment horizontal="centerContinuous"/>
    </xf>
    <xf numFmtId="0" fontId="7" fillId="10" borderId="0" xfId="10" applyBorder="1" applyAlignment="1">
      <alignment horizontal="centerContinuous"/>
    </xf>
    <xf numFmtId="0" fontId="8" fillId="2" borderId="0" xfId="2" applyFont="1"/>
    <xf numFmtId="0" fontId="5" fillId="9" borderId="0" xfId="9" applyFont="1" applyBorder="1" applyAlignment="1">
      <alignment horizontal="centerContinuous"/>
    </xf>
    <xf numFmtId="0" fontId="5" fillId="9" borderId="4" xfId="9" applyFont="1" applyBorder="1" applyAlignment="1">
      <alignment horizontal="centerContinuous"/>
    </xf>
    <xf numFmtId="0" fontId="5" fillId="9" borderId="1" xfId="9" applyFont="1" applyBorder="1" applyAlignment="1">
      <alignment horizontal="centerContinuous"/>
    </xf>
    <xf numFmtId="0" fontId="5" fillId="11" borderId="1" xfId="11" applyFont="1" applyBorder="1" applyAlignment="1">
      <alignment horizontal="centerContinuous"/>
    </xf>
    <xf numFmtId="0" fontId="5" fillId="11" borderId="3" xfId="11" applyFont="1" applyBorder="1" applyAlignment="1">
      <alignment horizontal="centerContinuous"/>
    </xf>
    <xf numFmtId="0" fontId="5" fillId="11" borderId="0" xfId="11" applyFont="1" applyAlignment="1">
      <alignment horizontal="centerContinuous"/>
    </xf>
    <xf numFmtId="0" fontId="7" fillId="9" borderId="0" xfId="9" applyBorder="1" applyAlignment="1">
      <alignment horizontal="centerContinuous"/>
    </xf>
    <xf numFmtId="0" fontId="5" fillId="7" borderId="0" xfId="7" applyFont="1" applyAlignment="1">
      <alignment horizontal="centerContinuous"/>
    </xf>
    <xf numFmtId="0" fontId="9" fillId="4" borderId="0" xfId="4" applyFont="1" applyAlignment="1">
      <alignment horizontal="centerContinuous"/>
    </xf>
    <xf numFmtId="0" fontId="7" fillId="9" borderId="0" xfId="9" applyAlignment="1">
      <alignment horizontal="centerContinuous"/>
    </xf>
    <xf numFmtId="0" fontId="7" fillId="7" borderId="0" xfId="7" applyAlignment="1">
      <alignment horizontal="centerContinuous"/>
    </xf>
    <xf numFmtId="0" fontId="7" fillId="10" borderId="0" xfId="10" applyBorder="1" applyAlignment="1"/>
    <xf numFmtId="0" fontId="6" fillId="5" borderId="1" xfId="5" applyFont="1" applyAlignment="1">
      <alignment horizontal="centerContinuous"/>
    </xf>
    <xf numFmtId="0" fontId="7" fillId="8" borderId="0" xfId="8" applyAlignment="1">
      <alignment horizontal="center"/>
    </xf>
    <xf numFmtId="0" fontId="7" fillId="10" borderId="0" xfId="10" applyAlignment="1">
      <alignment horizontal="center"/>
    </xf>
    <xf numFmtId="0" fontId="7" fillId="9" borderId="0" xfId="9" applyAlignment="1">
      <alignment horizontal="center"/>
    </xf>
    <xf numFmtId="0" fontId="7" fillId="11" borderId="0" xfId="11" applyAlignment="1">
      <alignment horizontal="center"/>
    </xf>
    <xf numFmtId="0" fontId="7" fillId="9" borderId="0" xfId="9" applyBorder="1" applyAlignment="1">
      <alignment horizontal="center"/>
    </xf>
    <xf numFmtId="0" fontId="7" fillId="10" borderId="0" xfId="10" applyBorder="1" applyAlignment="1">
      <alignment horizontal="center"/>
    </xf>
    <xf numFmtId="0" fontId="3" fillId="3" borderId="0" xfId="3" applyAlignment="1">
      <alignment horizontal="center"/>
    </xf>
    <xf numFmtId="0" fontId="7" fillId="10" borderId="0" xfId="10"/>
    <xf numFmtId="0" fontId="10" fillId="0" borderId="0" xfId="0" applyNumberFormat="1" applyFont="1" applyFill="1" applyBorder="1" applyAlignment="1" applyProtection="1"/>
    <xf numFmtId="0" fontId="10" fillId="0" borderId="0" xfId="0" quotePrefix="1" applyNumberFormat="1" applyFont="1" applyFill="1" applyBorder="1" applyAlignment="1" applyProtection="1">
      <alignment horizontal="center"/>
    </xf>
    <xf numFmtId="0" fontId="0" fillId="0" borderId="0" xfId="0" applyFont="1" applyAlignment="1">
      <alignment vertical="center" wrapText="1"/>
    </xf>
    <xf numFmtId="0" fontId="0" fillId="0" borderId="0" xfId="0" quotePrefix="1" applyFont="1" applyAlignment="1">
      <alignment vertical="center" wrapText="1"/>
    </xf>
    <xf numFmtId="0" fontId="0" fillId="0" borderId="0" xfId="0" applyFont="1"/>
    <xf numFmtId="14" fontId="0" fillId="0" borderId="0" xfId="0" applyNumberFormat="1" applyFont="1"/>
    <xf numFmtId="43" fontId="0" fillId="0" borderId="0" xfId="1" applyFont="1"/>
    <xf numFmtId="164" fontId="0" fillId="0" borderId="0" xfId="1" applyNumberFormat="1" applyFont="1"/>
    <xf numFmtId="165" fontId="10" fillId="0" borderId="0" xfId="0" applyNumberFormat="1" applyFont="1" applyFill="1" applyBorder="1" applyAlignment="1">
      <alignment horizontal="right" vertical="center"/>
    </xf>
    <xf numFmtId="43" fontId="0" fillId="0" borderId="0" xfId="1" applyFont="1" applyAlignment="1">
      <alignment horizontal="center"/>
    </xf>
    <xf numFmtId="0" fontId="0" fillId="0" borderId="0" xfId="0" applyFont="1" applyAlignment="1"/>
    <xf numFmtId="43" fontId="0" fillId="0" borderId="0" xfId="1" applyFont="1" applyAlignment="1"/>
    <xf numFmtId="0" fontId="0" fillId="0" borderId="0" xfId="0" applyAlignment="1">
      <alignment horizontal="center"/>
    </xf>
    <xf numFmtId="165" fontId="10" fillId="12" borderId="0" xfId="0" applyNumberFormat="1" applyFont="1" applyFill="1" applyBorder="1" applyAlignment="1">
      <alignment horizontal="right" vertical="center"/>
    </xf>
    <xf numFmtId="0" fontId="0" fillId="0" borderId="0" xfId="0" applyFont="1" applyAlignment="1">
      <alignment horizontal="center"/>
    </xf>
    <xf numFmtId="165" fontId="0" fillId="0" borderId="0" xfId="1" applyNumberFormat="1" applyFont="1" applyFill="1"/>
    <xf numFmtId="4" fontId="0" fillId="12" borderId="0" xfId="1" applyNumberFormat="1" applyFont="1" applyFill="1"/>
    <xf numFmtId="0" fontId="5" fillId="11" borderId="0" xfId="11" applyFont="1" applyAlignment="1">
      <alignment horizontal="center" wrapText="1"/>
    </xf>
    <xf numFmtId="0" fontId="5" fillId="11" borderId="0" xfId="11" applyFont="1" applyAlignment="1">
      <alignment horizontal="center"/>
    </xf>
  </cellXfs>
  <cellStyles count="12">
    <cellStyle name="60% - Accent2" xfId="7" builtinId="36"/>
    <cellStyle name="Accent2" xfId="6" builtinId="33"/>
    <cellStyle name="Accent3" xfId="8" builtinId="37"/>
    <cellStyle name="Accent4" xfId="9" builtinId="41"/>
    <cellStyle name="Accent5" xfId="10" builtinId="45"/>
    <cellStyle name="Accent6" xfId="11" builtinId="49"/>
    <cellStyle name="Bad" xfId="3" builtinId="27"/>
    <cellStyle name="Comma" xfId="1" builtinId="3"/>
    <cellStyle name="Good" xfId="2" builtinId="26"/>
    <cellStyle name="Neutral" xfId="4" builtinId="28"/>
    <cellStyle name="Normal" xfId="0" builtinId="0"/>
    <cellStyle name="Note" xfId="5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mand_dy_sbf/Cloud/Google%20Drive/Taxation/BonusCompensationComparis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ComparisonAnnualized"/>
      <sheetName val="Admin (2)"/>
      <sheetName val="Contributions"/>
    </sheetNames>
    <sheetDataSet>
      <sheetData sheetId="0">
        <row r="5">
          <cell r="C5">
            <v>14994.45</v>
          </cell>
        </row>
        <row r="7">
          <cell r="C7">
            <v>100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2:BD80"/>
  <sheetViews>
    <sheetView tabSelected="1" topLeftCell="A2" zoomScaleNormal="100" workbookViewId="0">
      <pane xSplit="3" ySplit="4" topLeftCell="D6" activePane="bottomRight" state="frozen"/>
      <selection activeCell="A2" sqref="A2"/>
      <selection pane="topRight" activeCell="D2" sqref="D2"/>
      <selection pane="bottomLeft" activeCell="A5" sqref="A5"/>
      <selection pane="bottomRight" activeCell="H13" sqref="H13"/>
    </sheetView>
  </sheetViews>
  <sheetFormatPr defaultRowHeight="15" x14ac:dyDescent="0.25"/>
  <cols>
    <col min="1" max="1" width="9.42578125" hidden="1" customWidth="1"/>
    <col min="2" max="2" width="10.140625" style="45" bestFit="1" customWidth="1"/>
    <col min="3" max="3" width="16" customWidth="1"/>
    <col min="4" max="4" width="18.140625" bestFit="1" customWidth="1"/>
    <col min="5" max="5" width="24.28515625" bestFit="1" customWidth="1"/>
    <col min="6" max="6" width="16.28515625" bestFit="1" customWidth="1"/>
    <col min="7" max="7" width="17" bestFit="1" customWidth="1"/>
    <col min="8" max="8" width="21.140625" bestFit="1" customWidth="1"/>
    <col min="9" max="9" width="18.85546875" bestFit="1" customWidth="1"/>
    <col min="10" max="10" width="18.85546875" customWidth="1"/>
    <col min="11" max="11" width="14.140625" style="39" customWidth="1"/>
    <col min="12" max="12" width="14.28515625" style="39" customWidth="1"/>
    <col min="13" max="13" width="14" style="39" customWidth="1"/>
    <col min="14" max="14" width="12.42578125" style="39" customWidth="1"/>
    <col min="15" max="16" width="15.7109375" style="39" customWidth="1"/>
    <col min="17" max="17" width="16.85546875" style="39" customWidth="1"/>
    <col min="18" max="18" width="15.7109375" style="39" customWidth="1"/>
    <col min="19" max="19" width="13.85546875" style="39" customWidth="1"/>
    <col min="20" max="20" width="16" style="39" customWidth="1"/>
    <col min="21" max="21" width="15.7109375" style="39" customWidth="1"/>
    <col min="22" max="22" width="14.28515625" style="39" customWidth="1"/>
    <col min="23" max="23" width="17.7109375" style="39" customWidth="1"/>
    <col min="24" max="30" width="16" style="39" customWidth="1"/>
    <col min="31" max="31" width="10.140625" style="39" customWidth="1"/>
    <col min="32" max="33" width="16" style="39" customWidth="1"/>
    <col min="34" max="34" width="10.140625" style="39" customWidth="1"/>
    <col min="35" max="44" width="16" style="39" customWidth="1"/>
    <col min="45" max="45" width="9.140625" style="39"/>
    <col min="46" max="46" width="11.5703125" style="39" bestFit="1" customWidth="1"/>
    <col min="47" max="47" width="20.28515625" style="39" bestFit="1" customWidth="1"/>
    <col min="48" max="48" width="19.5703125" style="39" bestFit="1" customWidth="1"/>
    <col min="49" max="49" width="16" style="39" bestFit="1" customWidth="1"/>
    <col min="50" max="50" width="16.5703125" style="39" bestFit="1" customWidth="1"/>
    <col min="51" max="51" width="19.5703125" style="39" bestFit="1" customWidth="1"/>
    <col min="52" max="52" width="18.28515625" style="39" bestFit="1" customWidth="1"/>
    <col min="53" max="53" width="16.85546875" style="39" bestFit="1" customWidth="1"/>
    <col min="54" max="54" width="20.28515625" style="39" bestFit="1" customWidth="1"/>
    <col min="55" max="55" width="11.42578125" style="42" bestFit="1" customWidth="1"/>
    <col min="59" max="59" width="10.5703125" bestFit="1" customWidth="1"/>
  </cols>
  <sheetData>
    <row r="2" spans="1:56" s="1" customFormat="1" x14ac:dyDescent="0.25">
      <c r="B2" s="2"/>
      <c r="C2" s="3"/>
      <c r="D2" s="4" t="s">
        <v>0</v>
      </c>
      <c r="E2" s="4"/>
      <c r="F2" s="4"/>
      <c r="G2" s="5"/>
      <c r="H2" s="6"/>
      <c r="I2" s="6"/>
      <c r="J2" s="6"/>
      <c r="K2" s="7" t="s">
        <v>1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9"/>
      <c r="AR2" s="10"/>
      <c r="AS2" s="11"/>
      <c r="AT2" s="11"/>
    </row>
    <row r="3" spans="1:56" s="1" customFormat="1" x14ac:dyDescent="0.25">
      <c r="B3" s="2"/>
      <c r="C3" s="3"/>
      <c r="D3" s="4"/>
      <c r="E3" s="4"/>
      <c r="F3" s="4"/>
      <c r="G3" s="5"/>
      <c r="H3" s="6"/>
      <c r="I3" s="6"/>
      <c r="J3" s="50" t="s">
        <v>65</v>
      </c>
      <c r="K3" s="12" t="s">
        <v>2</v>
      </c>
      <c r="L3" s="13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5" t="s">
        <v>3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6"/>
      <c r="AR3" s="10"/>
      <c r="AS3" s="11"/>
      <c r="AT3" s="11"/>
    </row>
    <row r="4" spans="1:56" s="1" customFormat="1" x14ac:dyDescent="0.25">
      <c r="B4" s="2"/>
      <c r="C4" s="3"/>
      <c r="D4" s="4"/>
      <c r="E4" s="4"/>
      <c r="F4" s="4"/>
      <c r="G4" s="5"/>
      <c r="H4" s="17" t="s">
        <v>4</v>
      </c>
      <c r="I4" s="17"/>
      <c r="J4" s="51"/>
      <c r="K4" s="18" t="s">
        <v>5</v>
      </c>
      <c r="L4" s="19"/>
      <c r="M4" s="19"/>
      <c r="N4" s="19"/>
      <c r="O4" s="19"/>
      <c r="P4" s="19"/>
      <c r="Q4" s="19"/>
      <c r="R4" s="19"/>
      <c r="S4" s="19"/>
      <c r="T4" s="19"/>
      <c r="U4" s="19"/>
      <c r="V4" s="20" t="s">
        <v>6</v>
      </c>
      <c r="W4" s="20"/>
      <c r="X4" s="20"/>
      <c r="Y4" s="21" t="s">
        <v>5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22"/>
      <c r="AN4" s="20" t="s">
        <v>6</v>
      </c>
      <c r="AO4" s="20"/>
      <c r="AP4" s="20"/>
      <c r="AQ4" s="20"/>
      <c r="AR4" s="23"/>
      <c r="AS4" s="4" t="s">
        <v>66</v>
      </c>
      <c r="AT4" s="4"/>
      <c r="AX4" s="19" t="s">
        <v>7</v>
      </c>
      <c r="AY4" s="22"/>
      <c r="AZ4" s="24" t="s">
        <v>8</v>
      </c>
      <c r="BA4" s="24"/>
    </row>
    <row r="5" spans="1:56" x14ac:dyDescent="0.25">
      <c r="A5" t="s">
        <v>9</v>
      </c>
      <c r="B5" s="2" t="s">
        <v>10</v>
      </c>
      <c r="C5" s="25" t="s">
        <v>11</v>
      </c>
      <c r="D5" s="26" t="s">
        <v>12</v>
      </c>
      <c r="E5" s="26" t="s">
        <v>13</v>
      </c>
      <c r="F5" s="26" t="s">
        <v>14</v>
      </c>
      <c r="G5" s="27" t="s">
        <v>15</v>
      </c>
      <c r="H5" s="28" t="s">
        <v>16</v>
      </c>
      <c r="I5" s="28" t="s">
        <v>17</v>
      </c>
      <c r="J5" s="51"/>
      <c r="K5" s="29" t="s">
        <v>18</v>
      </c>
      <c r="L5" s="27" t="s">
        <v>19</v>
      </c>
      <c r="M5" s="27" t="s">
        <v>20</v>
      </c>
      <c r="N5" s="27" t="s">
        <v>21</v>
      </c>
      <c r="O5" s="27" t="s">
        <v>22</v>
      </c>
      <c r="P5" s="27" t="s">
        <v>23</v>
      </c>
      <c r="Q5" s="27" t="s">
        <v>24</v>
      </c>
      <c r="R5" s="27" t="s">
        <v>25</v>
      </c>
      <c r="S5" s="27" t="s">
        <v>26</v>
      </c>
      <c r="T5" s="27" t="s">
        <v>27</v>
      </c>
      <c r="U5" s="27" t="s">
        <v>28</v>
      </c>
      <c r="V5" s="25" t="s">
        <v>29</v>
      </c>
      <c r="W5" s="25" t="s">
        <v>30</v>
      </c>
      <c r="X5" s="25" t="s">
        <v>31</v>
      </c>
      <c r="Y5" s="27" t="s">
        <v>32</v>
      </c>
      <c r="Z5" s="27" t="s">
        <v>33</v>
      </c>
      <c r="AA5" s="27" t="s">
        <v>34</v>
      </c>
      <c r="AB5" s="27" t="s">
        <v>35</v>
      </c>
      <c r="AC5" s="27" t="s">
        <v>36</v>
      </c>
      <c r="AD5" s="27" t="s">
        <v>37</v>
      </c>
      <c r="AE5" s="27" t="s">
        <v>38</v>
      </c>
      <c r="AF5" s="27" t="s">
        <v>39</v>
      </c>
      <c r="AG5" s="27" t="s">
        <v>40</v>
      </c>
      <c r="AH5" s="27" t="s">
        <v>41</v>
      </c>
      <c r="AI5" s="27" t="s">
        <v>42</v>
      </c>
      <c r="AJ5" s="27" t="s">
        <v>43</v>
      </c>
      <c r="AK5" s="27" t="s">
        <v>44</v>
      </c>
      <c r="AL5" s="27" t="s">
        <v>45</v>
      </c>
      <c r="AM5" s="27" t="s">
        <v>46</v>
      </c>
      <c r="AN5" s="25" t="s">
        <v>47</v>
      </c>
      <c r="AO5" s="25" t="s">
        <v>48</v>
      </c>
      <c r="AP5" s="25" t="s">
        <v>49</v>
      </c>
      <c r="AQ5" s="25" t="s">
        <v>50</v>
      </c>
      <c r="AR5" s="30" t="s">
        <v>51</v>
      </c>
      <c r="AS5" s="2" t="s">
        <v>52</v>
      </c>
      <c r="AT5" s="2" t="s">
        <v>53</v>
      </c>
      <c r="AU5" s="31" t="s">
        <v>54</v>
      </c>
      <c r="AV5" s="26" t="s">
        <v>55</v>
      </c>
      <c r="AW5" s="2" t="s">
        <v>56</v>
      </c>
      <c r="AX5" s="25" t="s">
        <v>57</v>
      </c>
      <c r="AY5" s="32" t="s">
        <v>58</v>
      </c>
      <c r="AZ5" s="2" t="s">
        <v>59</v>
      </c>
      <c r="BA5" s="25" t="s">
        <v>60</v>
      </c>
      <c r="BB5" s="2" t="s">
        <v>61</v>
      </c>
      <c r="BC5" s="25" t="s">
        <v>62</v>
      </c>
      <c r="BD5" t="s">
        <v>73</v>
      </c>
    </row>
    <row r="6" spans="1:56" s="37" customFormat="1" x14ac:dyDescent="0.25">
      <c r="A6" s="33">
        <v>7.5</v>
      </c>
      <c r="B6" s="34" t="s">
        <v>63</v>
      </c>
      <c r="C6" s="35" t="s">
        <v>68</v>
      </c>
      <c r="D6" s="36" t="s">
        <v>69</v>
      </c>
      <c r="E6" s="37" t="s">
        <v>70</v>
      </c>
      <c r="F6" s="35" t="s">
        <v>71</v>
      </c>
      <c r="G6" s="47" t="s">
        <v>72</v>
      </c>
      <c r="H6" s="38">
        <v>44197</v>
      </c>
      <c r="I6" s="38">
        <v>44227</v>
      </c>
      <c r="J6" s="38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>
        <f t="shared" ref="Y6" si="0">AM6</f>
        <v>67293.41</v>
      </c>
      <c r="Z6" s="39">
        <v>402.84</v>
      </c>
      <c r="AA6" s="39">
        <f>AB6/12</f>
        <v>10507.41</v>
      </c>
      <c r="AB6" s="39">
        <f>Z6*313</f>
        <v>126088.92</v>
      </c>
      <c r="AC6" s="40">
        <f>AD6/AB6*313</f>
        <v>143.5</v>
      </c>
      <c r="AD6" s="46">
        <v>57807.54</v>
      </c>
      <c r="AE6" s="48">
        <v>4551.08</v>
      </c>
      <c r="AF6" s="41">
        <v>0</v>
      </c>
      <c r="AG6" s="39">
        <v>0</v>
      </c>
      <c r="AH6" s="39"/>
      <c r="AI6" s="49">
        <v>4934.79</v>
      </c>
      <c r="AJ6" s="39">
        <v>0</v>
      </c>
      <c r="AK6" s="39">
        <v>0</v>
      </c>
      <c r="AL6" s="39">
        <v>0</v>
      </c>
      <c r="AM6" s="39">
        <f>AD6+AE6+AF6+AG6+AH6+AI6+AJ6+AK6+AL6</f>
        <v>67293.41</v>
      </c>
      <c r="AN6" s="39"/>
      <c r="AO6" s="39"/>
      <c r="AP6" s="39"/>
      <c r="AQ6" s="39"/>
      <c r="AR6" s="39"/>
      <c r="AS6" s="39"/>
      <c r="AT6" s="39">
        <v>250000</v>
      </c>
      <c r="AU6" s="39"/>
      <c r="AV6" s="39"/>
      <c r="AW6" s="39"/>
      <c r="AX6" s="39"/>
      <c r="AY6" s="39">
        <v>0</v>
      </c>
      <c r="AZ6" s="39">
        <v>0</v>
      </c>
      <c r="BA6" s="39">
        <v>0</v>
      </c>
      <c r="BB6" s="39">
        <v>0</v>
      </c>
      <c r="BC6" s="42" t="s">
        <v>64</v>
      </c>
    </row>
    <row r="7" spans="1:56" s="37" customFormat="1" x14ac:dyDescent="0.25">
      <c r="A7" s="33"/>
      <c r="B7" s="34"/>
      <c r="C7" s="35"/>
      <c r="D7" s="36"/>
      <c r="F7" s="35"/>
      <c r="G7" s="47"/>
      <c r="H7" s="38"/>
      <c r="I7" s="38"/>
      <c r="J7" s="38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40"/>
      <c r="AD7" s="46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>
        <v>250000</v>
      </c>
      <c r="AU7" s="39"/>
      <c r="AV7" s="39"/>
      <c r="AW7" s="39"/>
      <c r="AX7" s="39"/>
      <c r="AY7" s="39">
        <v>0</v>
      </c>
      <c r="AZ7" s="39">
        <v>0</v>
      </c>
      <c r="BA7" s="39">
        <v>0</v>
      </c>
      <c r="BB7" s="39">
        <v>0</v>
      </c>
      <c r="BC7" s="42" t="s">
        <v>67</v>
      </c>
    </row>
    <row r="8" spans="1:56" s="37" customFormat="1" x14ac:dyDescent="0.25">
      <c r="A8" s="33"/>
      <c r="B8" s="34"/>
      <c r="C8" s="35"/>
      <c r="D8" s="36"/>
      <c r="F8" s="35"/>
      <c r="H8" s="38"/>
      <c r="I8" s="38"/>
      <c r="J8" s="38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>
        <f t="shared" ref="AA8:AA70" si="1">AB8/12</f>
        <v>0</v>
      </c>
      <c r="AB8" s="39">
        <f t="shared" ref="AB8:AB70" si="2">Z8*313</f>
        <v>0</v>
      </c>
      <c r="AC8" s="40" t="e">
        <f t="shared" ref="AC8:AC70" si="3">AD8/AB8*313</f>
        <v>#DIV/0!</v>
      </c>
      <c r="AD8" s="41"/>
      <c r="AE8" s="39"/>
      <c r="AF8" s="39"/>
      <c r="AG8" s="39"/>
      <c r="AH8" s="39"/>
      <c r="AI8" s="39"/>
      <c r="AJ8" s="39"/>
      <c r="AK8" s="39"/>
      <c r="AL8" s="39"/>
      <c r="AM8" s="39">
        <f t="shared" ref="AM8:AM70" si="4">AD8+AE8+AF8+AG8+AH8+AI8+AJ8+AL8</f>
        <v>0</v>
      </c>
      <c r="AN8" s="39"/>
      <c r="AO8" s="39"/>
      <c r="AP8" s="39"/>
      <c r="AQ8" s="39"/>
      <c r="AR8" s="39"/>
      <c r="AS8" s="39"/>
      <c r="AT8" s="39">
        <v>250000</v>
      </c>
      <c r="AU8" s="39"/>
      <c r="AV8" s="39"/>
      <c r="AW8" s="39"/>
      <c r="AX8" s="39"/>
      <c r="AY8" s="39">
        <v>0</v>
      </c>
      <c r="AZ8" s="39">
        <v>0</v>
      </c>
      <c r="BA8" s="39">
        <v>0</v>
      </c>
      <c r="BB8" s="39">
        <v>0</v>
      </c>
      <c r="BC8" s="42"/>
    </row>
    <row r="9" spans="1:56" s="37" customFormat="1" x14ac:dyDescent="0.25">
      <c r="A9" s="33"/>
      <c r="B9" s="34"/>
      <c r="C9" s="35"/>
      <c r="D9" s="36"/>
      <c r="F9" s="35"/>
      <c r="H9" s="38"/>
      <c r="I9" s="38"/>
      <c r="J9" s="38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>
        <f t="shared" si="1"/>
        <v>0</v>
      </c>
      <c r="AB9" s="39">
        <f t="shared" si="2"/>
        <v>0</v>
      </c>
      <c r="AC9" s="40" t="e">
        <f t="shared" si="3"/>
        <v>#DIV/0!</v>
      </c>
      <c r="AD9" s="41"/>
      <c r="AE9" s="39"/>
      <c r="AF9" s="39"/>
      <c r="AG9" s="39"/>
      <c r="AH9" s="39"/>
      <c r="AI9" s="39"/>
      <c r="AJ9" s="39"/>
      <c r="AK9" s="39"/>
      <c r="AL9" s="39"/>
      <c r="AM9" s="39">
        <f t="shared" si="4"/>
        <v>0</v>
      </c>
      <c r="AN9" s="39"/>
      <c r="AO9" s="39"/>
      <c r="AP9" s="39"/>
      <c r="AQ9" s="39"/>
      <c r="AR9" s="39"/>
      <c r="AS9" s="39"/>
      <c r="AT9" s="39">
        <v>250000</v>
      </c>
      <c r="AU9" s="39"/>
      <c r="AV9" s="39"/>
      <c r="AW9" s="39"/>
      <c r="AX9" s="39"/>
      <c r="AY9" s="39">
        <v>0</v>
      </c>
      <c r="AZ9" s="39">
        <v>0</v>
      </c>
      <c r="BA9" s="39">
        <v>0</v>
      </c>
      <c r="BB9" s="39">
        <v>0</v>
      </c>
      <c r="BC9" s="42"/>
    </row>
    <row r="10" spans="1:56" s="37" customFormat="1" x14ac:dyDescent="0.25">
      <c r="A10" s="33"/>
      <c r="B10" s="34"/>
      <c r="C10" s="35"/>
      <c r="D10" s="36"/>
      <c r="F10" s="35"/>
      <c r="H10" s="38"/>
      <c r="I10" s="38"/>
      <c r="J10" s="38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>
        <f t="shared" si="1"/>
        <v>0</v>
      </c>
      <c r="AB10" s="39">
        <f t="shared" si="2"/>
        <v>0</v>
      </c>
      <c r="AC10" s="40" t="e">
        <f t="shared" si="3"/>
        <v>#DIV/0!</v>
      </c>
      <c r="AD10" s="41"/>
      <c r="AE10" s="39"/>
      <c r="AF10" s="39"/>
      <c r="AG10" s="39"/>
      <c r="AH10" s="39"/>
      <c r="AI10" s="39"/>
      <c r="AJ10" s="39"/>
      <c r="AK10" s="39"/>
      <c r="AL10" s="39"/>
      <c r="AM10" s="39">
        <f t="shared" si="4"/>
        <v>0</v>
      </c>
      <c r="AN10" s="39"/>
      <c r="AO10" s="39"/>
      <c r="AP10" s="39"/>
      <c r="AQ10" s="39"/>
      <c r="AR10" s="39"/>
      <c r="AS10" s="39"/>
      <c r="AT10" s="39">
        <v>250000</v>
      </c>
      <c r="AU10" s="39"/>
      <c r="AV10" s="39"/>
      <c r="AW10" s="39"/>
      <c r="AX10" s="39"/>
      <c r="AY10" s="39">
        <v>0</v>
      </c>
      <c r="AZ10" s="39">
        <v>0</v>
      </c>
      <c r="BA10" s="39">
        <v>0</v>
      </c>
      <c r="BB10" s="39">
        <v>0</v>
      </c>
      <c r="BC10" s="42"/>
    </row>
    <row r="11" spans="1:56" s="37" customFormat="1" x14ac:dyDescent="0.25">
      <c r="A11" s="33"/>
      <c r="B11" s="34"/>
      <c r="C11" s="35"/>
      <c r="D11" s="36"/>
      <c r="F11" s="35"/>
      <c r="H11" s="38"/>
      <c r="I11" s="38"/>
      <c r="J11" s="38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>
        <f t="shared" si="1"/>
        <v>0</v>
      </c>
      <c r="AB11" s="39">
        <f t="shared" si="2"/>
        <v>0</v>
      </c>
      <c r="AC11" s="40" t="e">
        <f t="shared" si="3"/>
        <v>#DIV/0!</v>
      </c>
      <c r="AD11" s="41"/>
      <c r="AE11" s="39"/>
      <c r="AF11" s="39"/>
      <c r="AG11" s="39"/>
      <c r="AH11" s="39"/>
      <c r="AI11" s="39"/>
      <c r="AJ11" s="39"/>
      <c r="AK11" s="39"/>
      <c r="AL11" s="39"/>
      <c r="AM11" s="39">
        <f t="shared" si="4"/>
        <v>0</v>
      </c>
      <c r="AN11" s="39"/>
      <c r="AO11" s="39"/>
      <c r="AP11" s="39"/>
      <c r="AQ11" s="39"/>
      <c r="AR11" s="39"/>
      <c r="AS11" s="39"/>
      <c r="AT11" s="39">
        <v>250000</v>
      </c>
      <c r="AU11" s="39"/>
      <c r="AV11" s="39"/>
      <c r="AW11" s="39"/>
      <c r="AX11" s="39"/>
      <c r="AY11" s="39">
        <v>0</v>
      </c>
      <c r="AZ11" s="39">
        <v>0</v>
      </c>
      <c r="BA11" s="39">
        <v>0</v>
      </c>
      <c r="BB11" s="39">
        <v>0</v>
      </c>
      <c r="BC11" s="42"/>
    </row>
    <row r="12" spans="1:56" s="37" customFormat="1" x14ac:dyDescent="0.25">
      <c r="A12" s="33"/>
      <c r="B12" s="34"/>
      <c r="C12" s="35"/>
      <c r="D12" s="36"/>
      <c r="F12" s="35"/>
      <c r="H12" s="38"/>
      <c r="I12" s="38"/>
      <c r="J12" s="38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>
        <f t="shared" si="1"/>
        <v>0</v>
      </c>
      <c r="AB12" s="39">
        <f t="shared" si="2"/>
        <v>0</v>
      </c>
      <c r="AC12" s="40" t="e">
        <f t="shared" si="3"/>
        <v>#DIV/0!</v>
      </c>
      <c r="AD12" s="41"/>
      <c r="AE12" s="39"/>
      <c r="AF12" s="39"/>
      <c r="AG12" s="39"/>
      <c r="AH12" s="39"/>
      <c r="AI12" s="39"/>
      <c r="AJ12" s="39"/>
      <c r="AK12" s="39"/>
      <c r="AL12" s="39"/>
      <c r="AM12" s="39">
        <f t="shared" si="4"/>
        <v>0</v>
      </c>
      <c r="AN12" s="39"/>
      <c r="AO12" s="39"/>
      <c r="AP12" s="39"/>
      <c r="AQ12" s="39"/>
      <c r="AR12" s="39"/>
      <c r="AS12" s="39"/>
      <c r="AT12" s="39">
        <v>250000</v>
      </c>
      <c r="AU12" s="39"/>
      <c r="AV12" s="39"/>
      <c r="AW12" s="39"/>
      <c r="AX12" s="39"/>
      <c r="AY12" s="39">
        <v>0</v>
      </c>
      <c r="AZ12" s="39">
        <v>0</v>
      </c>
      <c r="BA12" s="39">
        <v>0</v>
      </c>
      <c r="BB12" s="39">
        <v>0</v>
      </c>
      <c r="BC12" s="42"/>
    </row>
    <row r="13" spans="1:56" s="37" customFormat="1" x14ac:dyDescent="0.25">
      <c r="A13" s="33"/>
      <c r="B13" s="34"/>
      <c r="C13" s="35"/>
      <c r="D13" s="36"/>
      <c r="F13" s="35"/>
      <c r="H13" s="38"/>
      <c r="I13" s="38"/>
      <c r="J13" s="38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>
        <f t="shared" si="1"/>
        <v>0</v>
      </c>
      <c r="AB13" s="39">
        <f t="shared" si="2"/>
        <v>0</v>
      </c>
      <c r="AC13" s="40" t="e">
        <f t="shared" si="3"/>
        <v>#DIV/0!</v>
      </c>
      <c r="AD13" s="41"/>
      <c r="AE13" s="39"/>
      <c r="AF13" s="39"/>
      <c r="AG13" s="39"/>
      <c r="AH13" s="39"/>
      <c r="AI13" s="39"/>
      <c r="AJ13" s="39"/>
      <c r="AK13" s="39"/>
      <c r="AL13" s="39"/>
      <c r="AM13" s="39">
        <f t="shared" si="4"/>
        <v>0</v>
      </c>
      <c r="AN13" s="39"/>
      <c r="AO13" s="39"/>
      <c r="AP13" s="39"/>
      <c r="AQ13" s="39"/>
      <c r="AR13" s="39"/>
      <c r="AS13" s="39"/>
      <c r="AT13" s="39">
        <v>250000</v>
      </c>
      <c r="AU13" s="39"/>
      <c r="AV13" s="39"/>
      <c r="AW13" s="39"/>
      <c r="AX13" s="39"/>
      <c r="AY13" s="39">
        <v>0</v>
      </c>
      <c r="AZ13" s="39">
        <v>0</v>
      </c>
      <c r="BA13" s="39">
        <v>0</v>
      </c>
      <c r="BB13" s="39">
        <v>0</v>
      </c>
      <c r="BC13" s="42"/>
    </row>
    <row r="14" spans="1:56" s="37" customFormat="1" x14ac:dyDescent="0.25">
      <c r="A14" s="33"/>
      <c r="B14" s="34"/>
      <c r="C14" s="35"/>
      <c r="D14" s="36"/>
      <c r="F14" s="35"/>
      <c r="H14" s="38"/>
      <c r="I14" s="38"/>
      <c r="J14" s="38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>
        <f t="shared" si="1"/>
        <v>0</v>
      </c>
      <c r="AB14" s="39">
        <f t="shared" si="2"/>
        <v>0</v>
      </c>
      <c r="AC14" s="40" t="e">
        <f t="shared" si="3"/>
        <v>#DIV/0!</v>
      </c>
      <c r="AD14" s="41"/>
      <c r="AE14" s="39"/>
      <c r="AF14" s="39"/>
      <c r="AG14" s="39"/>
      <c r="AH14" s="39"/>
      <c r="AI14" s="39"/>
      <c r="AJ14" s="39"/>
      <c r="AK14" s="39"/>
      <c r="AL14" s="39"/>
      <c r="AM14" s="39">
        <f t="shared" si="4"/>
        <v>0</v>
      </c>
      <c r="AN14" s="39"/>
      <c r="AO14" s="39"/>
      <c r="AP14" s="39"/>
      <c r="AQ14" s="39"/>
      <c r="AR14" s="39"/>
      <c r="AS14" s="39"/>
      <c r="AT14" s="39">
        <v>250000</v>
      </c>
      <c r="AU14" s="39"/>
      <c r="AV14" s="39"/>
      <c r="AW14" s="39"/>
      <c r="AX14" s="39"/>
      <c r="AY14" s="39">
        <v>0</v>
      </c>
      <c r="AZ14" s="39">
        <v>0</v>
      </c>
      <c r="BA14" s="39">
        <v>0</v>
      </c>
      <c r="BB14" s="39">
        <v>0</v>
      </c>
      <c r="BC14" s="42"/>
    </row>
    <row r="15" spans="1:56" s="37" customFormat="1" x14ac:dyDescent="0.25">
      <c r="A15" s="33"/>
      <c r="B15" s="34"/>
      <c r="C15" s="35"/>
      <c r="D15" s="36"/>
      <c r="F15" s="35"/>
      <c r="H15" s="38"/>
      <c r="I15" s="38"/>
      <c r="J15" s="38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>
        <f t="shared" si="1"/>
        <v>0</v>
      </c>
      <c r="AB15" s="39">
        <f t="shared" si="2"/>
        <v>0</v>
      </c>
      <c r="AC15" s="40" t="e">
        <f t="shared" si="3"/>
        <v>#DIV/0!</v>
      </c>
      <c r="AD15" s="41"/>
      <c r="AE15" s="39"/>
      <c r="AF15" s="39"/>
      <c r="AG15" s="39"/>
      <c r="AH15" s="39"/>
      <c r="AI15" s="39"/>
      <c r="AJ15" s="39"/>
      <c r="AK15" s="39"/>
      <c r="AL15" s="39"/>
      <c r="AM15" s="39">
        <f t="shared" si="4"/>
        <v>0</v>
      </c>
      <c r="AN15" s="39"/>
      <c r="AO15" s="39"/>
      <c r="AP15" s="39"/>
      <c r="AQ15" s="39"/>
      <c r="AR15" s="39"/>
      <c r="AS15" s="39"/>
      <c r="AT15" s="39">
        <v>250000</v>
      </c>
      <c r="AU15" s="39"/>
      <c r="AV15" s="39"/>
      <c r="AW15" s="39"/>
      <c r="AX15" s="39"/>
      <c r="AY15" s="39">
        <v>0</v>
      </c>
      <c r="AZ15" s="39">
        <v>0</v>
      </c>
      <c r="BA15" s="39">
        <v>0</v>
      </c>
      <c r="BB15" s="39">
        <v>0</v>
      </c>
      <c r="BC15" s="42"/>
    </row>
    <row r="16" spans="1:56" s="37" customFormat="1" x14ac:dyDescent="0.25">
      <c r="A16" s="33"/>
      <c r="B16" s="34"/>
      <c r="C16" s="35"/>
      <c r="D16" s="36"/>
      <c r="F16" s="35"/>
      <c r="H16" s="38"/>
      <c r="I16" s="38"/>
      <c r="J16" s="38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>
        <f t="shared" si="1"/>
        <v>0</v>
      </c>
      <c r="AB16" s="39">
        <f t="shared" si="2"/>
        <v>0</v>
      </c>
      <c r="AC16" s="40" t="e">
        <f t="shared" si="3"/>
        <v>#DIV/0!</v>
      </c>
      <c r="AD16" s="41"/>
      <c r="AE16" s="39"/>
      <c r="AF16" s="39"/>
      <c r="AG16" s="39"/>
      <c r="AH16" s="39"/>
      <c r="AI16" s="39"/>
      <c r="AJ16" s="39"/>
      <c r="AK16" s="39"/>
      <c r="AL16" s="39"/>
      <c r="AM16" s="39">
        <f t="shared" si="4"/>
        <v>0</v>
      </c>
      <c r="AN16" s="39"/>
      <c r="AO16" s="39"/>
      <c r="AP16" s="39"/>
      <c r="AQ16" s="39"/>
      <c r="AR16" s="39"/>
      <c r="AS16" s="39"/>
      <c r="AT16" s="39">
        <v>250000</v>
      </c>
      <c r="AU16" s="39"/>
      <c r="AV16" s="39"/>
      <c r="AW16" s="39"/>
      <c r="AX16" s="39"/>
      <c r="AY16" s="39">
        <v>0</v>
      </c>
      <c r="AZ16" s="39">
        <v>0</v>
      </c>
      <c r="BA16" s="39">
        <v>0</v>
      </c>
      <c r="BB16" s="39">
        <v>0</v>
      </c>
      <c r="BC16" s="42"/>
    </row>
    <row r="17" spans="1:55" s="37" customFormat="1" x14ac:dyDescent="0.25">
      <c r="A17" s="33"/>
      <c r="B17" s="34"/>
      <c r="C17" s="35"/>
      <c r="D17" s="36"/>
      <c r="F17" s="35"/>
      <c r="H17" s="38"/>
      <c r="I17" s="38"/>
      <c r="J17" s="38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>
        <f t="shared" si="1"/>
        <v>0</v>
      </c>
      <c r="AB17" s="39">
        <f t="shared" si="2"/>
        <v>0</v>
      </c>
      <c r="AC17" s="40" t="e">
        <f t="shared" si="3"/>
        <v>#DIV/0!</v>
      </c>
      <c r="AD17" s="41"/>
      <c r="AE17" s="39"/>
      <c r="AF17" s="39"/>
      <c r="AG17" s="39"/>
      <c r="AH17" s="39"/>
      <c r="AI17" s="39"/>
      <c r="AJ17" s="39"/>
      <c r="AK17" s="39"/>
      <c r="AL17" s="39"/>
      <c r="AM17" s="39">
        <f t="shared" si="4"/>
        <v>0</v>
      </c>
      <c r="AN17" s="39"/>
      <c r="AO17" s="39"/>
      <c r="AP17" s="39"/>
      <c r="AQ17" s="39"/>
      <c r="AR17" s="39"/>
      <c r="AS17" s="39"/>
      <c r="AT17" s="39">
        <v>250000</v>
      </c>
      <c r="AU17" s="39"/>
      <c r="AV17" s="39"/>
      <c r="AW17" s="39"/>
      <c r="AX17" s="39"/>
      <c r="AY17" s="39">
        <v>0</v>
      </c>
      <c r="AZ17" s="39">
        <v>0</v>
      </c>
      <c r="BA17" s="39">
        <v>0</v>
      </c>
      <c r="BB17" s="39">
        <v>0</v>
      </c>
      <c r="BC17" s="42"/>
    </row>
    <row r="18" spans="1:55" s="37" customFormat="1" x14ac:dyDescent="0.25">
      <c r="A18" s="33"/>
      <c r="B18" s="34"/>
      <c r="C18" s="35"/>
      <c r="D18" s="36"/>
      <c r="F18" s="35"/>
      <c r="H18" s="38"/>
      <c r="I18" s="38"/>
      <c r="J18" s="38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>
        <f t="shared" si="1"/>
        <v>0</v>
      </c>
      <c r="AB18" s="39">
        <f t="shared" si="2"/>
        <v>0</v>
      </c>
      <c r="AC18" s="40" t="e">
        <f t="shared" si="3"/>
        <v>#DIV/0!</v>
      </c>
      <c r="AD18" s="41"/>
      <c r="AE18" s="39"/>
      <c r="AF18" s="39"/>
      <c r="AG18" s="39"/>
      <c r="AH18" s="39"/>
      <c r="AI18" s="39"/>
      <c r="AJ18" s="39"/>
      <c r="AK18" s="39"/>
      <c r="AL18" s="39"/>
      <c r="AM18" s="39">
        <f t="shared" si="4"/>
        <v>0</v>
      </c>
      <c r="AN18" s="39"/>
      <c r="AO18" s="39"/>
      <c r="AP18" s="39"/>
      <c r="AQ18" s="39"/>
      <c r="AR18" s="39"/>
      <c r="AS18" s="39"/>
      <c r="AT18" s="39">
        <v>250000</v>
      </c>
      <c r="AU18" s="39"/>
      <c r="AV18" s="39"/>
      <c r="AW18" s="39"/>
      <c r="AX18" s="39"/>
      <c r="AY18" s="39">
        <v>0</v>
      </c>
      <c r="AZ18" s="39">
        <v>0</v>
      </c>
      <c r="BA18" s="39">
        <v>0</v>
      </c>
      <c r="BB18" s="39">
        <v>0</v>
      </c>
      <c r="BC18" s="42"/>
    </row>
    <row r="19" spans="1:55" s="37" customFormat="1" x14ac:dyDescent="0.25">
      <c r="A19" s="33"/>
      <c r="B19" s="34"/>
      <c r="C19" s="35"/>
      <c r="D19" s="36"/>
      <c r="F19" s="35"/>
      <c r="H19" s="38"/>
      <c r="I19" s="38"/>
      <c r="J19" s="38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>
        <f t="shared" si="1"/>
        <v>0</v>
      </c>
      <c r="AB19" s="39">
        <f t="shared" si="2"/>
        <v>0</v>
      </c>
      <c r="AC19" s="40" t="e">
        <f t="shared" si="3"/>
        <v>#DIV/0!</v>
      </c>
      <c r="AD19" s="41"/>
      <c r="AE19" s="39"/>
      <c r="AF19" s="39"/>
      <c r="AG19" s="39"/>
      <c r="AH19" s="39"/>
      <c r="AI19" s="39"/>
      <c r="AJ19" s="39"/>
      <c r="AK19" s="39"/>
      <c r="AL19" s="39"/>
      <c r="AM19" s="39">
        <f t="shared" si="4"/>
        <v>0</v>
      </c>
      <c r="AN19" s="39"/>
      <c r="AO19" s="39"/>
      <c r="AP19" s="39"/>
      <c r="AQ19" s="39"/>
      <c r="AR19" s="39"/>
      <c r="AS19" s="39"/>
      <c r="AT19" s="39">
        <v>250000</v>
      </c>
      <c r="AU19" s="39"/>
      <c r="AV19" s="39"/>
      <c r="AW19" s="39"/>
      <c r="AX19" s="39"/>
      <c r="AY19" s="39">
        <v>0</v>
      </c>
      <c r="AZ19" s="39">
        <v>0</v>
      </c>
      <c r="BA19" s="39">
        <v>0</v>
      </c>
      <c r="BB19" s="39">
        <v>0</v>
      </c>
      <c r="BC19" s="42"/>
    </row>
    <row r="20" spans="1:55" s="37" customFormat="1" x14ac:dyDescent="0.25">
      <c r="A20" s="33"/>
      <c r="B20" s="34"/>
      <c r="C20" s="35"/>
      <c r="D20" s="36"/>
      <c r="F20" s="35"/>
      <c r="H20" s="38"/>
      <c r="I20" s="38"/>
      <c r="J20" s="38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>
        <f t="shared" si="1"/>
        <v>0</v>
      </c>
      <c r="AB20" s="39">
        <f t="shared" si="2"/>
        <v>0</v>
      </c>
      <c r="AC20" s="40" t="e">
        <f t="shared" si="3"/>
        <v>#DIV/0!</v>
      </c>
      <c r="AD20" s="41"/>
      <c r="AE20" s="39"/>
      <c r="AF20" s="39"/>
      <c r="AG20" s="39"/>
      <c r="AH20" s="39"/>
      <c r="AI20" s="39"/>
      <c r="AJ20" s="39"/>
      <c r="AK20" s="39"/>
      <c r="AL20" s="39"/>
      <c r="AM20" s="39">
        <f t="shared" si="4"/>
        <v>0</v>
      </c>
      <c r="AN20" s="39"/>
      <c r="AO20" s="39"/>
      <c r="AP20" s="39"/>
      <c r="AQ20" s="39"/>
      <c r="AR20" s="39"/>
      <c r="AS20" s="39"/>
      <c r="AT20" s="39">
        <v>250000</v>
      </c>
      <c r="AU20" s="39"/>
      <c r="AV20" s="39"/>
      <c r="AW20" s="39"/>
      <c r="AX20" s="39"/>
      <c r="AY20" s="39">
        <v>0</v>
      </c>
      <c r="AZ20" s="39">
        <v>0</v>
      </c>
      <c r="BA20" s="39">
        <v>0</v>
      </c>
      <c r="BB20" s="39">
        <v>0</v>
      </c>
      <c r="BC20" s="42"/>
    </row>
    <row r="21" spans="1:55" s="37" customFormat="1" x14ac:dyDescent="0.25">
      <c r="A21" s="33"/>
      <c r="B21" s="34"/>
      <c r="C21" s="35"/>
      <c r="D21" s="36"/>
      <c r="F21" s="35"/>
      <c r="H21" s="38"/>
      <c r="I21" s="38"/>
      <c r="J21" s="38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>
        <f t="shared" si="1"/>
        <v>0</v>
      </c>
      <c r="AB21" s="39">
        <f t="shared" si="2"/>
        <v>0</v>
      </c>
      <c r="AC21" s="40" t="e">
        <f t="shared" si="3"/>
        <v>#DIV/0!</v>
      </c>
      <c r="AD21" s="41"/>
      <c r="AE21" s="39"/>
      <c r="AF21" s="39"/>
      <c r="AG21" s="39"/>
      <c r="AH21" s="39"/>
      <c r="AI21" s="39"/>
      <c r="AJ21" s="39"/>
      <c r="AK21" s="39"/>
      <c r="AL21" s="39"/>
      <c r="AM21" s="39">
        <f t="shared" si="4"/>
        <v>0</v>
      </c>
      <c r="AN21" s="39"/>
      <c r="AO21" s="39"/>
      <c r="AP21" s="39"/>
      <c r="AQ21" s="39"/>
      <c r="AR21" s="39"/>
      <c r="AS21" s="39"/>
      <c r="AT21" s="39">
        <v>250000</v>
      </c>
      <c r="AU21" s="39"/>
      <c r="AV21" s="39"/>
      <c r="AW21" s="39"/>
      <c r="AX21" s="39"/>
      <c r="AY21" s="39">
        <v>0</v>
      </c>
      <c r="AZ21" s="39">
        <v>0</v>
      </c>
      <c r="BA21" s="39">
        <v>0</v>
      </c>
      <c r="BB21" s="39">
        <v>0</v>
      </c>
      <c r="BC21" s="42"/>
    </row>
    <row r="22" spans="1:55" s="37" customFormat="1" x14ac:dyDescent="0.25">
      <c r="A22" s="33"/>
      <c r="B22" s="34"/>
      <c r="C22" s="35"/>
      <c r="D22" s="36"/>
      <c r="F22" s="35"/>
      <c r="H22" s="38"/>
      <c r="I22" s="38"/>
      <c r="J22" s="38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>
        <f t="shared" si="1"/>
        <v>0</v>
      </c>
      <c r="AB22" s="39">
        <f t="shared" si="2"/>
        <v>0</v>
      </c>
      <c r="AC22" s="40" t="e">
        <f t="shared" si="3"/>
        <v>#DIV/0!</v>
      </c>
      <c r="AD22" s="41"/>
      <c r="AE22" s="39"/>
      <c r="AF22" s="39"/>
      <c r="AG22" s="39"/>
      <c r="AH22" s="39"/>
      <c r="AI22" s="39"/>
      <c r="AJ22" s="39"/>
      <c r="AK22" s="39"/>
      <c r="AL22" s="39"/>
      <c r="AM22" s="39">
        <f t="shared" si="4"/>
        <v>0</v>
      </c>
      <c r="AN22" s="39"/>
      <c r="AO22" s="39"/>
      <c r="AP22" s="39"/>
      <c r="AQ22" s="39"/>
      <c r="AR22" s="39"/>
      <c r="AS22" s="39"/>
      <c r="AT22" s="39">
        <v>250000</v>
      </c>
      <c r="AU22" s="39"/>
      <c r="AV22" s="39"/>
      <c r="AW22" s="39"/>
      <c r="AX22" s="39"/>
      <c r="AY22" s="39">
        <v>0</v>
      </c>
      <c r="AZ22" s="39">
        <v>0</v>
      </c>
      <c r="BA22" s="39">
        <v>0</v>
      </c>
      <c r="BB22" s="39">
        <v>0</v>
      </c>
      <c r="BC22" s="42"/>
    </row>
    <row r="23" spans="1:55" s="37" customFormat="1" x14ac:dyDescent="0.25">
      <c r="A23" s="33"/>
      <c r="B23" s="34"/>
      <c r="C23" s="35"/>
      <c r="D23" s="36"/>
      <c r="F23" s="35"/>
      <c r="H23" s="38"/>
      <c r="I23" s="38"/>
      <c r="J23" s="38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>
        <f t="shared" si="1"/>
        <v>0</v>
      </c>
      <c r="AB23" s="39">
        <f t="shared" si="2"/>
        <v>0</v>
      </c>
      <c r="AC23" s="40" t="e">
        <f t="shared" si="3"/>
        <v>#DIV/0!</v>
      </c>
      <c r="AD23" s="41"/>
      <c r="AE23" s="39"/>
      <c r="AF23" s="39"/>
      <c r="AG23" s="39"/>
      <c r="AH23" s="39"/>
      <c r="AI23" s="39"/>
      <c r="AJ23" s="39"/>
      <c r="AK23" s="39"/>
      <c r="AL23" s="39"/>
      <c r="AM23" s="39">
        <f t="shared" si="4"/>
        <v>0</v>
      </c>
      <c r="AN23" s="39"/>
      <c r="AO23" s="39"/>
      <c r="AP23" s="39"/>
      <c r="AQ23" s="39"/>
      <c r="AR23" s="39"/>
      <c r="AS23" s="39"/>
      <c r="AT23" s="39">
        <v>250000</v>
      </c>
      <c r="AU23" s="39"/>
      <c r="AV23" s="39"/>
      <c r="AW23" s="39"/>
      <c r="AX23" s="39"/>
      <c r="AY23" s="39">
        <v>0</v>
      </c>
      <c r="AZ23" s="39">
        <v>0</v>
      </c>
      <c r="BA23" s="39">
        <v>0</v>
      </c>
      <c r="BB23" s="39">
        <v>0</v>
      </c>
      <c r="BC23" s="42"/>
    </row>
    <row r="24" spans="1:55" s="37" customFormat="1" x14ac:dyDescent="0.25">
      <c r="A24" s="33"/>
      <c r="B24" s="34"/>
      <c r="C24" s="35"/>
      <c r="D24" s="36"/>
      <c r="F24" s="35"/>
      <c r="H24" s="38"/>
      <c r="I24" s="38"/>
      <c r="J24" s="38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>
        <f t="shared" si="1"/>
        <v>0</v>
      </c>
      <c r="AB24" s="39">
        <f t="shared" si="2"/>
        <v>0</v>
      </c>
      <c r="AC24" s="40" t="e">
        <f t="shared" si="3"/>
        <v>#DIV/0!</v>
      </c>
      <c r="AD24" s="41"/>
      <c r="AE24" s="39"/>
      <c r="AF24" s="39"/>
      <c r="AG24" s="39"/>
      <c r="AH24" s="39"/>
      <c r="AI24" s="39"/>
      <c r="AJ24" s="39"/>
      <c r="AK24" s="39"/>
      <c r="AL24" s="39"/>
      <c r="AM24" s="39">
        <f t="shared" si="4"/>
        <v>0</v>
      </c>
      <c r="AN24" s="39"/>
      <c r="AO24" s="39"/>
      <c r="AP24" s="39"/>
      <c r="AQ24" s="39"/>
      <c r="AR24" s="39"/>
      <c r="AS24" s="39"/>
      <c r="AT24" s="39">
        <v>250000</v>
      </c>
      <c r="AU24" s="39"/>
      <c r="AV24" s="39"/>
      <c r="AW24" s="39"/>
      <c r="AX24" s="39"/>
      <c r="AY24" s="39">
        <v>0</v>
      </c>
      <c r="AZ24" s="39">
        <v>0</v>
      </c>
      <c r="BA24" s="39">
        <v>0</v>
      </c>
      <c r="BB24" s="39">
        <v>0</v>
      </c>
      <c r="BC24" s="42"/>
    </row>
    <row r="25" spans="1:55" s="37" customFormat="1" x14ac:dyDescent="0.25">
      <c r="A25" s="33"/>
      <c r="B25" s="34"/>
      <c r="C25" s="35"/>
      <c r="D25" s="36"/>
      <c r="F25" s="35"/>
      <c r="H25" s="38"/>
      <c r="I25" s="38"/>
      <c r="J25" s="38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>
        <f t="shared" si="1"/>
        <v>0</v>
      </c>
      <c r="AB25" s="39">
        <f t="shared" si="2"/>
        <v>0</v>
      </c>
      <c r="AC25" s="40" t="e">
        <f t="shared" si="3"/>
        <v>#DIV/0!</v>
      </c>
      <c r="AD25" s="41"/>
      <c r="AE25" s="39"/>
      <c r="AF25" s="39"/>
      <c r="AG25" s="39"/>
      <c r="AH25" s="39"/>
      <c r="AI25" s="39"/>
      <c r="AJ25" s="39"/>
      <c r="AK25" s="39"/>
      <c r="AL25" s="39"/>
      <c r="AM25" s="39">
        <f t="shared" si="4"/>
        <v>0</v>
      </c>
      <c r="AN25" s="39"/>
      <c r="AO25" s="39"/>
      <c r="AP25" s="39"/>
      <c r="AQ25" s="39"/>
      <c r="AR25" s="39"/>
      <c r="AS25" s="39"/>
      <c r="AT25" s="39">
        <v>250000</v>
      </c>
      <c r="AU25" s="39"/>
      <c r="AV25" s="39"/>
      <c r="AW25" s="39"/>
      <c r="AX25" s="39"/>
      <c r="AY25" s="39">
        <v>0</v>
      </c>
      <c r="AZ25" s="39">
        <v>0</v>
      </c>
      <c r="BA25" s="39">
        <v>0</v>
      </c>
      <c r="BB25" s="39">
        <v>0</v>
      </c>
      <c r="BC25" s="42"/>
    </row>
    <row r="26" spans="1:55" s="37" customFormat="1" x14ac:dyDescent="0.25">
      <c r="A26" s="33"/>
      <c r="B26" s="34"/>
      <c r="C26" s="35"/>
      <c r="D26" s="36"/>
      <c r="F26" s="35"/>
      <c r="H26" s="38"/>
      <c r="I26" s="38"/>
      <c r="J26" s="38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>
        <f t="shared" si="1"/>
        <v>0</v>
      </c>
      <c r="AB26" s="39">
        <f t="shared" si="2"/>
        <v>0</v>
      </c>
      <c r="AC26" s="40" t="e">
        <f t="shared" si="3"/>
        <v>#DIV/0!</v>
      </c>
      <c r="AD26" s="41"/>
      <c r="AE26" s="39"/>
      <c r="AF26" s="39"/>
      <c r="AG26" s="39"/>
      <c r="AH26" s="39"/>
      <c r="AI26" s="39"/>
      <c r="AJ26" s="39"/>
      <c r="AK26" s="39"/>
      <c r="AL26" s="39"/>
      <c r="AM26" s="39">
        <f t="shared" si="4"/>
        <v>0</v>
      </c>
      <c r="AN26" s="39"/>
      <c r="AO26" s="39"/>
      <c r="AP26" s="39"/>
      <c r="AQ26" s="39"/>
      <c r="AR26" s="39"/>
      <c r="AS26" s="39"/>
      <c r="AT26" s="39">
        <v>250000</v>
      </c>
      <c r="AU26" s="39"/>
      <c r="AV26" s="39"/>
      <c r="AW26" s="39"/>
      <c r="AX26" s="39"/>
      <c r="AY26" s="39">
        <v>0</v>
      </c>
      <c r="AZ26" s="39">
        <v>0</v>
      </c>
      <c r="BA26" s="39">
        <v>0</v>
      </c>
      <c r="BB26" s="39">
        <v>0</v>
      </c>
      <c r="BC26" s="42"/>
    </row>
    <row r="27" spans="1:55" s="37" customFormat="1" x14ac:dyDescent="0.25">
      <c r="A27" s="33"/>
      <c r="B27" s="34"/>
      <c r="C27" s="35"/>
      <c r="D27" s="36"/>
      <c r="F27" s="35"/>
      <c r="H27" s="38"/>
      <c r="I27" s="38"/>
      <c r="J27" s="38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>
        <f t="shared" si="1"/>
        <v>0</v>
      </c>
      <c r="AB27" s="39">
        <f t="shared" si="2"/>
        <v>0</v>
      </c>
      <c r="AC27" s="40" t="e">
        <f t="shared" si="3"/>
        <v>#DIV/0!</v>
      </c>
      <c r="AD27" s="41"/>
      <c r="AE27" s="39"/>
      <c r="AF27" s="39"/>
      <c r="AG27" s="39"/>
      <c r="AH27" s="39"/>
      <c r="AI27" s="39"/>
      <c r="AJ27" s="39"/>
      <c r="AK27" s="39"/>
      <c r="AL27" s="39"/>
      <c r="AM27" s="39">
        <f t="shared" si="4"/>
        <v>0</v>
      </c>
      <c r="AN27" s="39"/>
      <c r="AO27" s="39"/>
      <c r="AP27" s="39"/>
      <c r="AQ27" s="39"/>
      <c r="AR27" s="39"/>
      <c r="AS27" s="39"/>
      <c r="AT27" s="39">
        <v>250000</v>
      </c>
      <c r="AU27" s="39"/>
      <c r="AV27" s="39"/>
      <c r="AW27" s="39"/>
      <c r="AX27" s="39"/>
      <c r="AY27" s="39">
        <v>0</v>
      </c>
      <c r="AZ27" s="39">
        <v>0</v>
      </c>
      <c r="BA27" s="39">
        <v>0</v>
      </c>
      <c r="BB27" s="39">
        <v>0</v>
      </c>
      <c r="BC27" s="42"/>
    </row>
    <row r="28" spans="1:55" s="37" customFormat="1" x14ac:dyDescent="0.25">
      <c r="A28" s="33"/>
      <c r="B28" s="34"/>
      <c r="C28" s="35"/>
      <c r="D28" s="36"/>
      <c r="F28" s="35"/>
      <c r="H28" s="38"/>
      <c r="I28" s="38"/>
      <c r="J28" s="38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>
        <f t="shared" si="1"/>
        <v>0</v>
      </c>
      <c r="AB28" s="39">
        <f t="shared" si="2"/>
        <v>0</v>
      </c>
      <c r="AC28" s="40" t="e">
        <f t="shared" si="3"/>
        <v>#DIV/0!</v>
      </c>
      <c r="AD28" s="41"/>
      <c r="AE28" s="39"/>
      <c r="AF28" s="39"/>
      <c r="AG28" s="39"/>
      <c r="AH28" s="39"/>
      <c r="AI28" s="39"/>
      <c r="AJ28" s="39"/>
      <c r="AK28" s="39"/>
      <c r="AL28" s="39"/>
      <c r="AM28" s="39">
        <f t="shared" si="4"/>
        <v>0</v>
      </c>
      <c r="AN28" s="39"/>
      <c r="AO28" s="39"/>
      <c r="AP28" s="39"/>
      <c r="AQ28" s="39"/>
      <c r="AR28" s="39"/>
      <c r="AS28" s="39"/>
      <c r="AT28" s="39">
        <v>250000</v>
      </c>
      <c r="AU28" s="39"/>
      <c r="AV28" s="39"/>
      <c r="AW28" s="39"/>
      <c r="AX28" s="39"/>
      <c r="AY28" s="39">
        <v>0</v>
      </c>
      <c r="AZ28" s="39">
        <v>0</v>
      </c>
      <c r="BA28" s="39">
        <v>0</v>
      </c>
      <c r="BB28" s="39">
        <v>0</v>
      </c>
      <c r="BC28" s="42"/>
    </row>
    <row r="29" spans="1:55" s="37" customFormat="1" x14ac:dyDescent="0.25">
      <c r="A29" s="33"/>
      <c r="B29" s="34"/>
      <c r="C29" s="35"/>
      <c r="D29" s="36"/>
      <c r="F29" s="35"/>
      <c r="H29" s="38"/>
      <c r="I29" s="38"/>
      <c r="J29" s="38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>
        <f t="shared" si="1"/>
        <v>0</v>
      </c>
      <c r="AB29" s="39">
        <f t="shared" si="2"/>
        <v>0</v>
      </c>
      <c r="AC29" s="40" t="e">
        <f t="shared" si="3"/>
        <v>#DIV/0!</v>
      </c>
      <c r="AD29" s="41"/>
      <c r="AE29" s="39"/>
      <c r="AF29" s="39"/>
      <c r="AG29" s="39"/>
      <c r="AH29" s="39"/>
      <c r="AI29" s="39"/>
      <c r="AJ29" s="39"/>
      <c r="AK29" s="39"/>
      <c r="AL29" s="39"/>
      <c r="AM29" s="39">
        <f t="shared" si="4"/>
        <v>0</v>
      </c>
      <c r="AN29" s="39"/>
      <c r="AO29" s="39"/>
      <c r="AP29" s="39"/>
      <c r="AQ29" s="39"/>
      <c r="AR29" s="39"/>
      <c r="AS29" s="39"/>
      <c r="AT29" s="39">
        <v>250000</v>
      </c>
      <c r="AU29" s="39"/>
      <c r="AV29" s="39"/>
      <c r="AW29" s="39"/>
      <c r="AX29" s="39"/>
      <c r="AY29" s="39">
        <v>0</v>
      </c>
      <c r="AZ29" s="39">
        <v>0</v>
      </c>
      <c r="BA29" s="39">
        <v>0</v>
      </c>
      <c r="BB29" s="39">
        <v>0</v>
      </c>
      <c r="BC29" s="42"/>
    </row>
    <row r="30" spans="1:55" s="37" customFormat="1" x14ac:dyDescent="0.25">
      <c r="A30" s="33"/>
      <c r="B30" s="34"/>
      <c r="C30" s="35"/>
      <c r="D30" s="36"/>
      <c r="F30" s="35"/>
      <c r="H30" s="38"/>
      <c r="I30" s="38"/>
      <c r="J30" s="38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>
        <f t="shared" si="1"/>
        <v>0</v>
      </c>
      <c r="AB30" s="39">
        <f t="shared" si="2"/>
        <v>0</v>
      </c>
      <c r="AC30" s="40" t="e">
        <f t="shared" si="3"/>
        <v>#DIV/0!</v>
      </c>
      <c r="AD30" s="41"/>
      <c r="AE30" s="39"/>
      <c r="AF30" s="39"/>
      <c r="AG30" s="39"/>
      <c r="AH30" s="39"/>
      <c r="AI30" s="39"/>
      <c r="AJ30" s="39"/>
      <c r="AK30" s="39"/>
      <c r="AL30" s="39"/>
      <c r="AM30" s="39">
        <f t="shared" si="4"/>
        <v>0</v>
      </c>
      <c r="AN30" s="39"/>
      <c r="AO30" s="39"/>
      <c r="AP30" s="39"/>
      <c r="AQ30" s="39"/>
      <c r="AR30" s="39"/>
      <c r="AS30" s="39"/>
      <c r="AT30" s="39">
        <v>250000</v>
      </c>
      <c r="AU30" s="39"/>
      <c r="AV30" s="39"/>
      <c r="AW30" s="39"/>
      <c r="AX30" s="39"/>
      <c r="AY30" s="39">
        <v>0</v>
      </c>
      <c r="AZ30" s="39">
        <v>0</v>
      </c>
      <c r="BA30" s="39">
        <v>0</v>
      </c>
      <c r="BB30" s="39">
        <v>0</v>
      </c>
      <c r="BC30" s="42"/>
    </row>
    <row r="31" spans="1:55" s="37" customFormat="1" x14ac:dyDescent="0.25">
      <c r="A31" s="33"/>
      <c r="B31" s="34"/>
      <c r="C31" s="35"/>
      <c r="D31" s="36"/>
      <c r="F31" s="35"/>
      <c r="H31" s="38"/>
      <c r="I31" s="38"/>
      <c r="J31" s="38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>
        <f t="shared" si="1"/>
        <v>0</v>
      </c>
      <c r="AB31" s="39">
        <f t="shared" si="2"/>
        <v>0</v>
      </c>
      <c r="AC31" s="40" t="e">
        <f t="shared" si="3"/>
        <v>#DIV/0!</v>
      </c>
      <c r="AD31" s="41"/>
      <c r="AE31" s="39"/>
      <c r="AF31" s="39"/>
      <c r="AG31" s="39"/>
      <c r="AH31" s="39"/>
      <c r="AI31" s="39"/>
      <c r="AJ31" s="39"/>
      <c r="AK31" s="39"/>
      <c r="AL31" s="39"/>
      <c r="AM31" s="39">
        <f t="shared" si="4"/>
        <v>0</v>
      </c>
      <c r="AN31" s="39"/>
      <c r="AO31" s="39"/>
      <c r="AP31" s="39"/>
      <c r="AQ31" s="39"/>
      <c r="AR31" s="39"/>
      <c r="AS31" s="39"/>
      <c r="AT31" s="39">
        <v>250000</v>
      </c>
      <c r="AU31" s="39"/>
      <c r="AV31" s="39"/>
      <c r="AW31" s="39"/>
      <c r="AX31" s="39"/>
      <c r="AY31" s="39">
        <v>0</v>
      </c>
      <c r="AZ31" s="39">
        <v>0</v>
      </c>
      <c r="BA31" s="39">
        <v>0</v>
      </c>
      <c r="BB31" s="39">
        <v>0</v>
      </c>
      <c r="BC31" s="42"/>
    </row>
    <row r="32" spans="1:55" s="37" customFormat="1" x14ac:dyDescent="0.25">
      <c r="A32" s="33"/>
      <c r="B32" s="34"/>
      <c r="C32" s="35"/>
      <c r="D32" s="36"/>
      <c r="F32" s="35"/>
      <c r="H32" s="38"/>
      <c r="I32" s="38"/>
      <c r="J32" s="38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>
        <f t="shared" si="1"/>
        <v>0</v>
      </c>
      <c r="AB32" s="39">
        <f t="shared" si="2"/>
        <v>0</v>
      </c>
      <c r="AC32" s="40" t="e">
        <f t="shared" si="3"/>
        <v>#DIV/0!</v>
      </c>
      <c r="AD32" s="41"/>
      <c r="AE32" s="39"/>
      <c r="AF32" s="39"/>
      <c r="AG32" s="39"/>
      <c r="AH32" s="39"/>
      <c r="AI32" s="39"/>
      <c r="AJ32" s="39"/>
      <c r="AK32" s="39"/>
      <c r="AL32" s="39"/>
      <c r="AM32" s="39">
        <f t="shared" si="4"/>
        <v>0</v>
      </c>
      <c r="AN32" s="39"/>
      <c r="AO32" s="39"/>
      <c r="AP32" s="39"/>
      <c r="AQ32" s="39"/>
      <c r="AR32" s="39"/>
      <c r="AS32" s="39"/>
      <c r="AT32" s="39">
        <v>250000</v>
      </c>
      <c r="AU32" s="39"/>
      <c r="AV32" s="39"/>
      <c r="AW32" s="39"/>
      <c r="AX32" s="39"/>
      <c r="AY32" s="39">
        <v>0</v>
      </c>
      <c r="AZ32" s="39">
        <v>0</v>
      </c>
      <c r="BA32" s="39">
        <v>0</v>
      </c>
      <c r="BB32" s="39">
        <v>0</v>
      </c>
      <c r="BC32" s="42"/>
    </row>
    <row r="33" spans="1:55" s="37" customFormat="1" x14ac:dyDescent="0.25">
      <c r="A33" s="33"/>
      <c r="B33" s="34"/>
      <c r="C33" s="35"/>
      <c r="D33" s="36"/>
      <c r="F33" s="35"/>
      <c r="H33" s="38"/>
      <c r="I33" s="38"/>
      <c r="J33" s="38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>
        <f t="shared" si="1"/>
        <v>0</v>
      </c>
      <c r="AB33" s="39">
        <f t="shared" si="2"/>
        <v>0</v>
      </c>
      <c r="AC33" s="40" t="e">
        <f t="shared" si="3"/>
        <v>#DIV/0!</v>
      </c>
      <c r="AD33" s="41"/>
      <c r="AE33" s="39"/>
      <c r="AF33" s="39"/>
      <c r="AG33" s="39"/>
      <c r="AH33" s="39"/>
      <c r="AI33" s="39"/>
      <c r="AJ33" s="39"/>
      <c r="AK33" s="39"/>
      <c r="AL33" s="39"/>
      <c r="AM33" s="39">
        <f t="shared" si="4"/>
        <v>0</v>
      </c>
      <c r="AN33" s="39"/>
      <c r="AO33" s="39"/>
      <c r="AP33" s="39"/>
      <c r="AQ33" s="39"/>
      <c r="AR33" s="39"/>
      <c r="AS33" s="39"/>
      <c r="AT33" s="39">
        <v>250000</v>
      </c>
      <c r="AU33" s="39"/>
      <c r="AV33" s="39"/>
      <c r="AW33" s="39"/>
      <c r="AX33" s="39"/>
      <c r="AY33" s="39">
        <v>0</v>
      </c>
      <c r="AZ33" s="39">
        <v>0</v>
      </c>
      <c r="BA33" s="39">
        <v>0</v>
      </c>
      <c r="BB33" s="39">
        <v>0</v>
      </c>
      <c r="BC33" s="42"/>
    </row>
    <row r="34" spans="1:55" s="37" customFormat="1" x14ac:dyDescent="0.25">
      <c r="A34" s="33"/>
      <c r="B34" s="34"/>
      <c r="C34" s="35"/>
      <c r="D34" s="36"/>
      <c r="F34" s="35"/>
      <c r="H34" s="38"/>
      <c r="I34" s="38"/>
      <c r="J34" s="38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>
        <f t="shared" si="1"/>
        <v>0</v>
      </c>
      <c r="AB34" s="39">
        <f t="shared" si="2"/>
        <v>0</v>
      </c>
      <c r="AC34" s="40" t="e">
        <f t="shared" si="3"/>
        <v>#DIV/0!</v>
      </c>
      <c r="AD34" s="41"/>
      <c r="AE34" s="39"/>
      <c r="AF34" s="39"/>
      <c r="AG34" s="39"/>
      <c r="AH34" s="39"/>
      <c r="AI34" s="39"/>
      <c r="AJ34" s="39"/>
      <c r="AK34" s="39"/>
      <c r="AL34" s="39"/>
      <c r="AM34" s="39">
        <f t="shared" si="4"/>
        <v>0</v>
      </c>
      <c r="AN34" s="39"/>
      <c r="AO34" s="39"/>
      <c r="AP34" s="39"/>
      <c r="AQ34" s="39"/>
      <c r="AR34" s="39"/>
      <c r="AS34" s="39"/>
      <c r="AT34" s="39">
        <v>250000</v>
      </c>
      <c r="AU34" s="39"/>
      <c r="AV34" s="39"/>
      <c r="AW34" s="39"/>
      <c r="AX34" s="39"/>
      <c r="AY34" s="39">
        <v>0</v>
      </c>
      <c r="AZ34" s="39">
        <v>0</v>
      </c>
      <c r="BA34" s="39">
        <v>0</v>
      </c>
      <c r="BB34" s="39">
        <v>0</v>
      </c>
      <c r="BC34" s="42"/>
    </row>
    <row r="35" spans="1:55" s="37" customFormat="1" x14ac:dyDescent="0.25">
      <c r="A35" s="33"/>
      <c r="B35" s="34"/>
      <c r="C35" s="35"/>
      <c r="D35" s="36"/>
      <c r="F35" s="35"/>
      <c r="H35" s="38"/>
      <c r="I35" s="38"/>
      <c r="J35" s="38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>
        <f t="shared" si="1"/>
        <v>0</v>
      </c>
      <c r="AB35" s="39">
        <f t="shared" si="2"/>
        <v>0</v>
      </c>
      <c r="AC35" s="40" t="e">
        <f t="shared" si="3"/>
        <v>#DIV/0!</v>
      </c>
      <c r="AD35" s="41"/>
      <c r="AE35" s="39"/>
      <c r="AF35" s="39"/>
      <c r="AG35" s="39"/>
      <c r="AH35" s="39"/>
      <c r="AI35" s="39"/>
      <c r="AJ35" s="39"/>
      <c r="AK35" s="39"/>
      <c r="AL35" s="39"/>
      <c r="AM35" s="39">
        <f t="shared" si="4"/>
        <v>0</v>
      </c>
      <c r="AN35" s="39"/>
      <c r="AO35" s="39"/>
      <c r="AP35" s="39"/>
      <c r="AQ35" s="39"/>
      <c r="AR35" s="39"/>
      <c r="AS35" s="39"/>
      <c r="AT35" s="39">
        <v>250000</v>
      </c>
      <c r="AU35" s="39"/>
      <c r="AV35" s="39"/>
      <c r="AW35" s="39"/>
      <c r="AX35" s="39"/>
      <c r="AY35" s="39">
        <v>0</v>
      </c>
      <c r="AZ35" s="39">
        <v>0</v>
      </c>
      <c r="BA35" s="39">
        <v>0</v>
      </c>
      <c r="BB35" s="39">
        <v>0</v>
      </c>
      <c r="BC35" s="42"/>
    </row>
    <row r="36" spans="1:55" s="37" customFormat="1" x14ac:dyDescent="0.25">
      <c r="A36" s="33"/>
      <c r="B36" s="34"/>
      <c r="C36" s="35"/>
      <c r="D36" s="36"/>
      <c r="F36" s="35"/>
      <c r="H36" s="38"/>
      <c r="I36" s="38"/>
      <c r="J36" s="38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>
        <f t="shared" si="1"/>
        <v>0</v>
      </c>
      <c r="AB36" s="39">
        <f t="shared" si="2"/>
        <v>0</v>
      </c>
      <c r="AC36" s="40" t="e">
        <f t="shared" si="3"/>
        <v>#DIV/0!</v>
      </c>
      <c r="AD36" s="41"/>
      <c r="AE36" s="39"/>
      <c r="AF36" s="39"/>
      <c r="AG36" s="39"/>
      <c r="AH36" s="39"/>
      <c r="AI36" s="39"/>
      <c r="AJ36" s="39"/>
      <c r="AK36" s="39"/>
      <c r="AL36" s="39"/>
      <c r="AM36" s="39">
        <f t="shared" si="4"/>
        <v>0</v>
      </c>
      <c r="AN36" s="39"/>
      <c r="AO36" s="39"/>
      <c r="AP36" s="39"/>
      <c r="AQ36" s="39"/>
      <c r="AR36" s="39"/>
      <c r="AS36" s="39"/>
      <c r="AT36" s="39">
        <v>250000</v>
      </c>
      <c r="AU36" s="39"/>
      <c r="AV36" s="39"/>
      <c r="AW36" s="39"/>
      <c r="AX36" s="39"/>
      <c r="AY36" s="39">
        <v>0</v>
      </c>
      <c r="AZ36" s="39">
        <v>0</v>
      </c>
      <c r="BA36" s="39">
        <v>0</v>
      </c>
      <c r="BB36" s="39">
        <v>0</v>
      </c>
      <c r="BC36" s="42"/>
    </row>
    <row r="37" spans="1:55" s="37" customFormat="1" x14ac:dyDescent="0.25">
      <c r="A37" s="33"/>
      <c r="B37" s="34"/>
      <c r="C37" s="35"/>
      <c r="D37" s="36"/>
      <c r="F37" s="35"/>
      <c r="H37" s="38"/>
      <c r="I37" s="38"/>
      <c r="J37" s="38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>
        <f t="shared" si="1"/>
        <v>0</v>
      </c>
      <c r="AB37" s="39">
        <f t="shared" si="2"/>
        <v>0</v>
      </c>
      <c r="AC37" s="40" t="e">
        <f t="shared" si="3"/>
        <v>#DIV/0!</v>
      </c>
      <c r="AD37" s="41"/>
      <c r="AE37" s="39"/>
      <c r="AF37" s="39"/>
      <c r="AG37" s="39"/>
      <c r="AH37" s="39"/>
      <c r="AI37" s="39"/>
      <c r="AJ37" s="39"/>
      <c r="AK37" s="39"/>
      <c r="AL37" s="39"/>
      <c r="AM37" s="39">
        <f t="shared" si="4"/>
        <v>0</v>
      </c>
      <c r="AN37" s="39"/>
      <c r="AO37" s="39"/>
      <c r="AP37" s="39"/>
      <c r="AQ37" s="39"/>
      <c r="AR37" s="39"/>
      <c r="AS37" s="39"/>
      <c r="AT37" s="39">
        <v>250000</v>
      </c>
      <c r="AU37" s="39"/>
      <c r="AV37" s="39"/>
      <c r="AW37" s="39"/>
      <c r="AX37" s="39"/>
      <c r="AY37" s="39">
        <v>0</v>
      </c>
      <c r="AZ37" s="39">
        <v>0</v>
      </c>
      <c r="BA37" s="39">
        <v>0</v>
      </c>
      <c r="BB37" s="39">
        <v>0</v>
      </c>
      <c r="BC37" s="42"/>
    </row>
    <row r="38" spans="1:55" s="37" customFormat="1" x14ac:dyDescent="0.25">
      <c r="A38" s="33"/>
      <c r="B38" s="34"/>
      <c r="C38" s="35"/>
      <c r="D38" s="36"/>
      <c r="F38" s="35"/>
      <c r="H38" s="38"/>
      <c r="I38" s="38"/>
      <c r="J38" s="38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>
        <f t="shared" si="1"/>
        <v>0</v>
      </c>
      <c r="AB38" s="39">
        <f t="shared" si="2"/>
        <v>0</v>
      </c>
      <c r="AC38" s="40" t="e">
        <f t="shared" si="3"/>
        <v>#DIV/0!</v>
      </c>
      <c r="AD38" s="41"/>
      <c r="AE38" s="39"/>
      <c r="AF38" s="39"/>
      <c r="AG38" s="39"/>
      <c r="AH38" s="39"/>
      <c r="AI38" s="39"/>
      <c r="AJ38" s="39"/>
      <c r="AK38" s="39"/>
      <c r="AL38" s="39"/>
      <c r="AM38" s="39">
        <f t="shared" si="4"/>
        <v>0</v>
      </c>
      <c r="AN38" s="39"/>
      <c r="AO38" s="39"/>
      <c r="AP38" s="39"/>
      <c r="AQ38" s="39"/>
      <c r="AR38" s="39"/>
      <c r="AS38" s="39"/>
      <c r="AT38" s="39">
        <v>250000</v>
      </c>
      <c r="AU38" s="39"/>
      <c r="AV38" s="39"/>
      <c r="AW38" s="39"/>
      <c r="AX38" s="39"/>
      <c r="AY38" s="39">
        <v>0</v>
      </c>
      <c r="AZ38" s="39">
        <v>0</v>
      </c>
      <c r="BA38" s="39">
        <v>0</v>
      </c>
      <c r="BB38" s="39">
        <v>0</v>
      </c>
      <c r="BC38" s="42"/>
    </row>
    <row r="39" spans="1:55" s="37" customFormat="1" x14ac:dyDescent="0.25">
      <c r="A39" s="33"/>
      <c r="B39" s="34"/>
      <c r="C39" s="35"/>
      <c r="D39" s="36"/>
      <c r="F39" s="35"/>
      <c r="H39" s="38"/>
      <c r="I39" s="38"/>
      <c r="J39" s="38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>
        <f t="shared" si="1"/>
        <v>0</v>
      </c>
      <c r="AB39" s="39">
        <f t="shared" si="2"/>
        <v>0</v>
      </c>
      <c r="AC39" s="40" t="e">
        <f t="shared" si="3"/>
        <v>#DIV/0!</v>
      </c>
      <c r="AD39" s="41"/>
      <c r="AE39" s="39"/>
      <c r="AF39" s="39"/>
      <c r="AG39" s="39"/>
      <c r="AH39" s="39"/>
      <c r="AI39" s="39"/>
      <c r="AJ39" s="39"/>
      <c r="AK39" s="39"/>
      <c r="AL39" s="39"/>
      <c r="AM39" s="39">
        <f t="shared" si="4"/>
        <v>0</v>
      </c>
      <c r="AN39" s="39"/>
      <c r="AO39" s="39"/>
      <c r="AP39" s="39"/>
      <c r="AQ39" s="39"/>
      <c r="AR39" s="39"/>
      <c r="AS39" s="39"/>
      <c r="AT39" s="39">
        <v>250000</v>
      </c>
      <c r="AU39" s="39"/>
      <c r="AV39" s="39"/>
      <c r="AW39" s="39"/>
      <c r="AX39" s="39"/>
      <c r="AY39" s="39">
        <v>0</v>
      </c>
      <c r="AZ39" s="39">
        <v>0</v>
      </c>
      <c r="BA39" s="39">
        <v>0</v>
      </c>
      <c r="BB39" s="39">
        <v>0</v>
      </c>
      <c r="BC39" s="42"/>
    </row>
    <row r="40" spans="1:55" s="37" customFormat="1" x14ac:dyDescent="0.25">
      <c r="A40" s="33"/>
      <c r="B40" s="34"/>
      <c r="C40" s="35"/>
      <c r="D40" s="36"/>
      <c r="F40" s="35"/>
      <c r="H40" s="38"/>
      <c r="I40" s="38"/>
      <c r="J40" s="38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>
        <f t="shared" si="1"/>
        <v>0</v>
      </c>
      <c r="AB40" s="39">
        <f t="shared" si="2"/>
        <v>0</v>
      </c>
      <c r="AC40" s="40" t="e">
        <f t="shared" si="3"/>
        <v>#DIV/0!</v>
      </c>
      <c r="AD40" s="41"/>
      <c r="AE40" s="39"/>
      <c r="AF40" s="39"/>
      <c r="AG40" s="39"/>
      <c r="AH40" s="39"/>
      <c r="AI40" s="39"/>
      <c r="AJ40" s="39"/>
      <c r="AK40" s="39"/>
      <c r="AL40" s="39"/>
      <c r="AM40" s="39">
        <f t="shared" si="4"/>
        <v>0</v>
      </c>
      <c r="AN40" s="39"/>
      <c r="AO40" s="39"/>
      <c r="AP40" s="39"/>
      <c r="AQ40" s="39"/>
      <c r="AR40" s="39"/>
      <c r="AS40" s="39"/>
      <c r="AT40" s="39">
        <v>250000</v>
      </c>
      <c r="AU40" s="39"/>
      <c r="AV40" s="39"/>
      <c r="AW40" s="39"/>
      <c r="AX40" s="39"/>
      <c r="AY40" s="39">
        <v>0</v>
      </c>
      <c r="AZ40" s="39">
        <v>0</v>
      </c>
      <c r="BA40" s="39">
        <v>0</v>
      </c>
      <c r="BB40" s="39">
        <v>0</v>
      </c>
      <c r="BC40" s="42"/>
    </row>
    <row r="41" spans="1:55" s="37" customFormat="1" x14ac:dyDescent="0.25">
      <c r="A41" s="33"/>
      <c r="B41" s="34"/>
      <c r="C41" s="35"/>
      <c r="D41" s="36"/>
      <c r="F41" s="35"/>
      <c r="H41" s="38"/>
      <c r="I41" s="38"/>
      <c r="J41" s="38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>
        <f t="shared" si="1"/>
        <v>0</v>
      </c>
      <c r="AB41" s="39">
        <f t="shared" si="2"/>
        <v>0</v>
      </c>
      <c r="AC41" s="40" t="e">
        <f t="shared" si="3"/>
        <v>#DIV/0!</v>
      </c>
      <c r="AD41" s="41"/>
      <c r="AE41" s="39"/>
      <c r="AF41" s="39"/>
      <c r="AG41" s="39"/>
      <c r="AH41" s="39"/>
      <c r="AI41" s="39"/>
      <c r="AJ41" s="39"/>
      <c r="AK41" s="39"/>
      <c r="AL41" s="39"/>
      <c r="AM41" s="39">
        <f t="shared" si="4"/>
        <v>0</v>
      </c>
      <c r="AN41" s="39"/>
      <c r="AO41" s="39"/>
      <c r="AP41" s="39"/>
      <c r="AQ41" s="39"/>
      <c r="AR41" s="39"/>
      <c r="AS41" s="39"/>
      <c r="AT41" s="39">
        <v>250000</v>
      </c>
      <c r="AU41" s="39"/>
      <c r="AV41" s="39"/>
      <c r="AW41" s="39"/>
      <c r="AX41" s="39"/>
      <c r="AY41" s="39">
        <v>0</v>
      </c>
      <c r="AZ41" s="39">
        <v>0</v>
      </c>
      <c r="BA41" s="39">
        <v>0</v>
      </c>
      <c r="BB41" s="39">
        <v>0</v>
      </c>
      <c r="BC41" s="42"/>
    </row>
    <row r="42" spans="1:55" s="37" customFormat="1" x14ac:dyDescent="0.25">
      <c r="A42" s="33"/>
      <c r="B42" s="34"/>
      <c r="C42" s="35"/>
      <c r="D42" s="36"/>
      <c r="F42" s="35"/>
      <c r="H42" s="38"/>
      <c r="I42" s="38"/>
      <c r="J42" s="38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>
        <f t="shared" si="1"/>
        <v>0</v>
      </c>
      <c r="AB42" s="39">
        <f t="shared" si="2"/>
        <v>0</v>
      </c>
      <c r="AC42" s="40" t="e">
        <f t="shared" si="3"/>
        <v>#DIV/0!</v>
      </c>
      <c r="AD42" s="41"/>
      <c r="AE42" s="39"/>
      <c r="AF42" s="39"/>
      <c r="AG42" s="39"/>
      <c r="AH42" s="39"/>
      <c r="AI42" s="39"/>
      <c r="AJ42" s="39"/>
      <c r="AK42" s="39"/>
      <c r="AL42" s="39"/>
      <c r="AM42" s="39">
        <f t="shared" si="4"/>
        <v>0</v>
      </c>
      <c r="AN42" s="39"/>
      <c r="AO42" s="39"/>
      <c r="AP42" s="39"/>
      <c r="AQ42" s="39"/>
      <c r="AR42" s="39"/>
      <c r="AS42" s="39"/>
      <c r="AT42" s="39">
        <v>250000</v>
      </c>
      <c r="AU42" s="39"/>
      <c r="AV42" s="39"/>
      <c r="AW42" s="39"/>
      <c r="AX42" s="39"/>
      <c r="AY42" s="39">
        <v>0</v>
      </c>
      <c r="AZ42" s="39">
        <v>0</v>
      </c>
      <c r="BA42" s="39">
        <v>0</v>
      </c>
      <c r="BB42" s="39">
        <v>0</v>
      </c>
      <c r="BC42" s="42"/>
    </row>
    <row r="43" spans="1:55" s="37" customFormat="1" x14ac:dyDescent="0.25">
      <c r="A43" s="33"/>
      <c r="B43" s="34"/>
      <c r="C43" s="35"/>
      <c r="D43" s="36"/>
      <c r="F43" s="35"/>
      <c r="H43" s="38"/>
      <c r="I43" s="38"/>
      <c r="J43" s="38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>
        <f t="shared" si="1"/>
        <v>0</v>
      </c>
      <c r="AB43" s="39">
        <f t="shared" si="2"/>
        <v>0</v>
      </c>
      <c r="AC43" s="40" t="e">
        <f t="shared" si="3"/>
        <v>#DIV/0!</v>
      </c>
      <c r="AD43" s="41"/>
      <c r="AE43" s="39"/>
      <c r="AF43" s="39"/>
      <c r="AG43" s="39"/>
      <c r="AH43" s="39"/>
      <c r="AI43" s="39"/>
      <c r="AJ43" s="39"/>
      <c r="AK43" s="39"/>
      <c r="AL43" s="39"/>
      <c r="AM43" s="39">
        <f t="shared" si="4"/>
        <v>0</v>
      </c>
      <c r="AN43" s="39"/>
      <c r="AO43" s="39"/>
      <c r="AP43" s="39"/>
      <c r="AQ43" s="39"/>
      <c r="AR43" s="39"/>
      <c r="AS43" s="39"/>
      <c r="AT43" s="39">
        <v>250000</v>
      </c>
      <c r="AU43" s="39"/>
      <c r="AV43" s="39"/>
      <c r="AW43" s="39"/>
      <c r="AX43" s="39"/>
      <c r="AY43" s="39">
        <v>0</v>
      </c>
      <c r="AZ43" s="39">
        <v>0</v>
      </c>
      <c r="BA43" s="39">
        <v>0</v>
      </c>
      <c r="BB43" s="39">
        <v>0</v>
      </c>
      <c r="BC43" s="42"/>
    </row>
    <row r="44" spans="1:55" s="37" customFormat="1" x14ac:dyDescent="0.25">
      <c r="A44" s="33"/>
      <c r="B44" s="34"/>
      <c r="C44" s="35"/>
      <c r="D44" s="36"/>
      <c r="F44" s="35"/>
      <c r="H44" s="38"/>
      <c r="I44" s="38"/>
      <c r="J44" s="38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>
        <f t="shared" si="1"/>
        <v>0</v>
      </c>
      <c r="AB44" s="39">
        <f t="shared" si="2"/>
        <v>0</v>
      </c>
      <c r="AC44" s="40" t="e">
        <f t="shared" si="3"/>
        <v>#DIV/0!</v>
      </c>
      <c r="AD44" s="41"/>
      <c r="AE44" s="39"/>
      <c r="AF44" s="39"/>
      <c r="AG44" s="39"/>
      <c r="AH44" s="39"/>
      <c r="AI44" s="39"/>
      <c r="AJ44" s="39"/>
      <c r="AK44" s="39"/>
      <c r="AL44" s="39"/>
      <c r="AM44" s="39">
        <f t="shared" si="4"/>
        <v>0</v>
      </c>
      <c r="AN44" s="39"/>
      <c r="AO44" s="39"/>
      <c r="AP44" s="39"/>
      <c r="AQ44" s="39"/>
      <c r="AR44" s="39"/>
      <c r="AS44" s="39"/>
      <c r="AT44" s="39">
        <v>250000</v>
      </c>
      <c r="AU44" s="39"/>
      <c r="AV44" s="39"/>
      <c r="AW44" s="39"/>
      <c r="AX44" s="39"/>
      <c r="AY44" s="39">
        <v>0</v>
      </c>
      <c r="AZ44" s="39">
        <v>0</v>
      </c>
      <c r="BA44" s="39">
        <v>0</v>
      </c>
      <c r="BB44" s="39">
        <v>0</v>
      </c>
      <c r="BC44" s="42"/>
    </row>
    <row r="45" spans="1:55" s="37" customFormat="1" x14ac:dyDescent="0.25">
      <c r="A45" s="33"/>
      <c r="B45" s="34"/>
      <c r="C45" s="35"/>
      <c r="D45" s="36"/>
      <c r="F45" s="35"/>
      <c r="H45" s="38"/>
      <c r="I45" s="38"/>
      <c r="J45" s="38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>
        <f t="shared" si="1"/>
        <v>0</v>
      </c>
      <c r="AB45" s="39">
        <f t="shared" si="2"/>
        <v>0</v>
      </c>
      <c r="AC45" s="40" t="e">
        <f t="shared" si="3"/>
        <v>#DIV/0!</v>
      </c>
      <c r="AD45" s="41"/>
      <c r="AE45" s="39"/>
      <c r="AF45" s="39"/>
      <c r="AG45" s="39"/>
      <c r="AH45" s="39"/>
      <c r="AI45" s="39"/>
      <c r="AJ45" s="39"/>
      <c r="AK45" s="39"/>
      <c r="AL45" s="39"/>
      <c r="AM45" s="39">
        <f t="shared" si="4"/>
        <v>0</v>
      </c>
      <c r="AN45" s="39"/>
      <c r="AO45" s="39"/>
      <c r="AP45" s="39"/>
      <c r="AQ45" s="39"/>
      <c r="AR45" s="39"/>
      <c r="AS45" s="39"/>
      <c r="AT45" s="39">
        <v>250000</v>
      </c>
      <c r="AU45" s="39"/>
      <c r="AV45" s="39"/>
      <c r="AW45" s="39"/>
      <c r="AX45" s="39"/>
      <c r="AY45" s="39">
        <v>0</v>
      </c>
      <c r="AZ45" s="39">
        <v>0</v>
      </c>
      <c r="BA45" s="39">
        <v>0</v>
      </c>
      <c r="BB45" s="39">
        <v>0</v>
      </c>
      <c r="BC45" s="42"/>
    </row>
    <row r="46" spans="1:55" s="43" customFormat="1" x14ac:dyDescent="0.25">
      <c r="A46" s="33"/>
      <c r="B46" s="34"/>
      <c r="C46" s="35"/>
      <c r="D46" s="36"/>
      <c r="E46" s="37"/>
      <c r="F46" s="35"/>
      <c r="G46" s="37"/>
      <c r="H46" s="38"/>
      <c r="I46" s="38"/>
      <c r="J46" s="38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39"/>
      <c r="Z46" s="39"/>
      <c r="AA46" s="39">
        <f t="shared" si="1"/>
        <v>0</v>
      </c>
      <c r="AB46" s="39">
        <f t="shared" si="2"/>
        <v>0</v>
      </c>
      <c r="AC46" s="40" t="e">
        <f t="shared" si="3"/>
        <v>#DIV/0!</v>
      </c>
      <c r="AD46" s="41"/>
      <c r="AE46" s="44"/>
      <c r="AF46" s="39"/>
      <c r="AG46" s="39"/>
      <c r="AH46" s="39"/>
      <c r="AI46" s="39"/>
      <c r="AJ46" s="39"/>
      <c r="AK46" s="39"/>
      <c r="AL46" s="39"/>
      <c r="AM46" s="39">
        <f t="shared" si="4"/>
        <v>0</v>
      </c>
      <c r="AN46" s="39"/>
      <c r="AO46" s="39"/>
      <c r="AP46" s="44"/>
      <c r="AQ46" s="44"/>
      <c r="AR46" s="44"/>
      <c r="AS46" s="39"/>
      <c r="AT46" s="39">
        <v>250000</v>
      </c>
      <c r="AU46" s="44"/>
      <c r="AV46" s="44"/>
      <c r="AW46" s="44"/>
      <c r="AX46" s="44"/>
      <c r="AY46" s="39">
        <v>0</v>
      </c>
      <c r="AZ46" s="39">
        <v>0</v>
      </c>
      <c r="BA46" s="39">
        <v>0</v>
      </c>
      <c r="BB46" s="39">
        <v>0</v>
      </c>
      <c r="BC46" s="42"/>
    </row>
    <row r="47" spans="1:55" s="37" customFormat="1" x14ac:dyDescent="0.25">
      <c r="A47" s="33"/>
      <c r="B47" s="34"/>
      <c r="C47" s="35"/>
      <c r="D47" s="36"/>
      <c r="F47" s="35"/>
      <c r="H47" s="38"/>
      <c r="I47" s="38"/>
      <c r="J47" s="38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>
        <f t="shared" si="1"/>
        <v>0</v>
      </c>
      <c r="AB47" s="39">
        <f t="shared" si="2"/>
        <v>0</v>
      </c>
      <c r="AC47" s="40" t="e">
        <f t="shared" si="3"/>
        <v>#DIV/0!</v>
      </c>
      <c r="AD47" s="41"/>
      <c r="AE47" s="39"/>
      <c r="AF47" s="39"/>
      <c r="AG47" s="39"/>
      <c r="AH47" s="39"/>
      <c r="AI47" s="39"/>
      <c r="AJ47" s="39"/>
      <c r="AK47" s="39"/>
      <c r="AL47" s="39"/>
      <c r="AM47" s="39">
        <f t="shared" si="4"/>
        <v>0</v>
      </c>
      <c r="AN47" s="39"/>
      <c r="AO47" s="39"/>
      <c r="AP47" s="39"/>
      <c r="AQ47" s="39"/>
      <c r="AR47" s="39"/>
      <c r="AS47" s="39"/>
      <c r="AT47" s="39">
        <v>250000</v>
      </c>
      <c r="AU47" s="39"/>
      <c r="AV47" s="39"/>
      <c r="AW47" s="39"/>
      <c r="AX47" s="39"/>
      <c r="AY47" s="39">
        <v>0</v>
      </c>
      <c r="AZ47" s="39">
        <v>0</v>
      </c>
      <c r="BA47" s="39">
        <v>0</v>
      </c>
      <c r="BB47" s="39">
        <v>0</v>
      </c>
      <c r="BC47" s="42"/>
    </row>
    <row r="48" spans="1:55" s="37" customFormat="1" x14ac:dyDescent="0.25">
      <c r="A48" s="33"/>
      <c r="B48" s="34"/>
      <c r="C48" s="35"/>
      <c r="D48" s="36"/>
      <c r="F48" s="35"/>
      <c r="H48" s="38"/>
      <c r="I48" s="38"/>
      <c r="J48" s="38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>
        <f t="shared" si="1"/>
        <v>0</v>
      </c>
      <c r="AB48" s="39">
        <f t="shared" si="2"/>
        <v>0</v>
      </c>
      <c r="AC48" s="40" t="e">
        <f t="shared" si="3"/>
        <v>#DIV/0!</v>
      </c>
      <c r="AD48" s="41"/>
      <c r="AE48" s="39"/>
      <c r="AF48" s="39"/>
      <c r="AG48" s="39"/>
      <c r="AH48" s="39"/>
      <c r="AI48" s="39"/>
      <c r="AJ48" s="39"/>
      <c r="AK48" s="39"/>
      <c r="AL48" s="39"/>
      <c r="AM48" s="39">
        <f t="shared" si="4"/>
        <v>0</v>
      </c>
      <c r="AN48" s="39"/>
      <c r="AO48" s="39"/>
      <c r="AP48" s="39"/>
      <c r="AQ48" s="39"/>
      <c r="AR48" s="39"/>
      <c r="AS48" s="39"/>
      <c r="AT48" s="39">
        <v>250000</v>
      </c>
      <c r="AU48" s="39"/>
      <c r="AV48" s="39"/>
      <c r="AW48" s="39"/>
      <c r="AX48" s="39"/>
      <c r="AY48" s="39">
        <v>0</v>
      </c>
      <c r="AZ48" s="39">
        <v>0</v>
      </c>
      <c r="BA48" s="39">
        <v>0</v>
      </c>
      <c r="BB48" s="39">
        <v>0</v>
      </c>
      <c r="BC48" s="42"/>
    </row>
    <row r="49" spans="1:55" s="37" customFormat="1" x14ac:dyDescent="0.25">
      <c r="A49" s="33"/>
      <c r="B49" s="34"/>
      <c r="C49" s="35"/>
      <c r="D49" s="36"/>
      <c r="F49" s="35"/>
      <c r="H49" s="38"/>
      <c r="I49" s="38"/>
      <c r="J49" s="38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>
        <f t="shared" si="1"/>
        <v>0</v>
      </c>
      <c r="AB49" s="39">
        <f t="shared" si="2"/>
        <v>0</v>
      </c>
      <c r="AC49" s="40" t="e">
        <f t="shared" si="3"/>
        <v>#DIV/0!</v>
      </c>
      <c r="AD49" s="41"/>
      <c r="AE49" s="39"/>
      <c r="AF49" s="39"/>
      <c r="AG49" s="39"/>
      <c r="AH49" s="39"/>
      <c r="AI49" s="39"/>
      <c r="AJ49" s="39"/>
      <c r="AK49" s="39"/>
      <c r="AL49" s="39"/>
      <c r="AM49" s="39">
        <f t="shared" si="4"/>
        <v>0</v>
      </c>
      <c r="AN49" s="39"/>
      <c r="AO49" s="39"/>
      <c r="AP49" s="39"/>
      <c r="AQ49" s="39"/>
      <c r="AR49" s="39"/>
      <c r="AS49" s="39"/>
      <c r="AT49" s="39">
        <v>250000</v>
      </c>
      <c r="AU49" s="39"/>
      <c r="AV49" s="39"/>
      <c r="AW49" s="39"/>
      <c r="AX49" s="39"/>
      <c r="AY49" s="39">
        <v>0</v>
      </c>
      <c r="AZ49" s="39">
        <v>0</v>
      </c>
      <c r="BA49" s="39">
        <v>0</v>
      </c>
      <c r="BB49" s="39">
        <v>0</v>
      </c>
      <c r="BC49" s="42"/>
    </row>
    <row r="50" spans="1:55" s="37" customFormat="1" x14ac:dyDescent="0.25">
      <c r="A50" s="33"/>
      <c r="B50" s="34"/>
      <c r="C50" s="35"/>
      <c r="D50" s="36"/>
      <c r="F50" s="35"/>
      <c r="H50" s="38"/>
      <c r="I50" s="38"/>
      <c r="J50" s="38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>
        <f t="shared" si="1"/>
        <v>0</v>
      </c>
      <c r="AB50" s="39">
        <f t="shared" si="2"/>
        <v>0</v>
      </c>
      <c r="AC50" s="40" t="e">
        <f t="shared" si="3"/>
        <v>#DIV/0!</v>
      </c>
      <c r="AD50" s="41"/>
      <c r="AE50" s="39"/>
      <c r="AF50" s="39"/>
      <c r="AG50" s="39"/>
      <c r="AH50" s="39"/>
      <c r="AI50" s="39"/>
      <c r="AJ50" s="39"/>
      <c r="AK50" s="39"/>
      <c r="AL50" s="39"/>
      <c r="AM50" s="39">
        <f t="shared" si="4"/>
        <v>0</v>
      </c>
      <c r="AN50" s="39"/>
      <c r="AO50" s="39"/>
      <c r="AP50" s="39"/>
      <c r="AQ50" s="39"/>
      <c r="AR50" s="39"/>
      <c r="AS50" s="39"/>
      <c r="AT50" s="39">
        <v>250000</v>
      </c>
      <c r="AU50" s="39"/>
      <c r="AV50" s="39"/>
      <c r="AW50" s="39"/>
      <c r="AX50" s="39"/>
      <c r="AY50" s="39">
        <v>0</v>
      </c>
      <c r="AZ50" s="39">
        <v>0</v>
      </c>
      <c r="BA50" s="39">
        <v>0</v>
      </c>
      <c r="BB50" s="39">
        <v>0</v>
      </c>
      <c r="BC50" s="42"/>
    </row>
    <row r="51" spans="1:55" s="37" customFormat="1" x14ac:dyDescent="0.25">
      <c r="A51" s="33"/>
      <c r="B51" s="34"/>
      <c r="C51" s="35"/>
      <c r="D51" s="36"/>
      <c r="F51" s="35"/>
      <c r="H51" s="38"/>
      <c r="I51" s="38"/>
      <c r="J51" s="38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>
        <f t="shared" si="1"/>
        <v>0</v>
      </c>
      <c r="AB51" s="39">
        <f t="shared" si="2"/>
        <v>0</v>
      </c>
      <c r="AC51" s="40" t="e">
        <f t="shared" si="3"/>
        <v>#DIV/0!</v>
      </c>
      <c r="AD51" s="41"/>
      <c r="AE51" s="39"/>
      <c r="AF51" s="39"/>
      <c r="AG51" s="39"/>
      <c r="AH51" s="39"/>
      <c r="AI51" s="39"/>
      <c r="AJ51" s="39"/>
      <c r="AK51" s="39"/>
      <c r="AL51" s="39"/>
      <c r="AM51" s="39">
        <f t="shared" si="4"/>
        <v>0</v>
      </c>
      <c r="AN51" s="39"/>
      <c r="AO51" s="39"/>
      <c r="AP51" s="39"/>
      <c r="AQ51" s="39"/>
      <c r="AR51" s="39"/>
      <c r="AS51" s="39"/>
      <c r="AT51" s="39">
        <v>250000</v>
      </c>
      <c r="AU51" s="39"/>
      <c r="AV51" s="39"/>
      <c r="AW51" s="39"/>
      <c r="AX51" s="39"/>
      <c r="AY51" s="39">
        <v>0</v>
      </c>
      <c r="AZ51" s="39">
        <v>0</v>
      </c>
      <c r="BA51" s="39">
        <v>0</v>
      </c>
      <c r="BB51" s="39">
        <v>0</v>
      </c>
      <c r="BC51" s="42"/>
    </row>
    <row r="52" spans="1:55" s="37" customFormat="1" x14ac:dyDescent="0.25">
      <c r="A52" s="33"/>
      <c r="B52" s="34"/>
      <c r="C52" s="35"/>
      <c r="D52" s="36"/>
      <c r="F52" s="35"/>
      <c r="H52" s="38"/>
      <c r="I52" s="38"/>
      <c r="J52" s="38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>
        <f t="shared" si="1"/>
        <v>0</v>
      </c>
      <c r="AB52" s="39">
        <f t="shared" si="2"/>
        <v>0</v>
      </c>
      <c r="AC52" s="40" t="e">
        <f t="shared" si="3"/>
        <v>#DIV/0!</v>
      </c>
      <c r="AD52" s="41"/>
      <c r="AE52" s="39"/>
      <c r="AF52" s="39"/>
      <c r="AG52" s="39"/>
      <c r="AH52" s="39"/>
      <c r="AI52" s="39"/>
      <c r="AJ52" s="39"/>
      <c r="AK52" s="39"/>
      <c r="AL52" s="39"/>
      <c r="AM52" s="39">
        <f t="shared" si="4"/>
        <v>0</v>
      </c>
      <c r="AN52" s="39"/>
      <c r="AO52" s="39"/>
      <c r="AP52" s="39"/>
      <c r="AQ52" s="39"/>
      <c r="AR52" s="39"/>
      <c r="AS52" s="39"/>
      <c r="AT52" s="39">
        <v>250000</v>
      </c>
      <c r="AU52" s="39"/>
      <c r="AV52" s="39"/>
      <c r="AW52" s="39"/>
      <c r="AX52" s="39"/>
      <c r="AY52" s="39">
        <v>0</v>
      </c>
      <c r="AZ52" s="39">
        <v>0</v>
      </c>
      <c r="BA52" s="39">
        <v>0</v>
      </c>
      <c r="BB52" s="39">
        <v>0</v>
      </c>
      <c r="BC52" s="42"/>
    </row>
    <row r="53" spans="1:55" s="37" customFormat="1" x14ac:dyDescent="0.25">
      <c r="A53" s="33"/>
      <c r="B53" s="34"/>
      <c r="C53" s="35"/>
      <c r="D53" s="36"/>
      <c r="F53" s="35"/>
      <c r="H53" s="38"/>
      <c r="I53" s="38"/>
      <c r="J53" s="38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>
        <f t="shared" si="1"/>
        <v>0</v>
      </c>
      <c r="AB53" s="39">
        <f t="shared" si="2"/>
        <v>0</v>
      </c>
      <c r="AC53" s="40" t="e">
        <f t="shared" si="3"/>
        <v>#DIV/0!</v>
      </c>
      <c r="AD53" s="41"/>
      <c r="AE53" s="39"/>
      <c r="AF53" s="39"/>
      <c r="AG53" s="39"/>
      <c r="AH53" s="39"/>
      <c r="AI53" s="39"/>
      <c r="AJ53" s="39"/>
      <c r="AK53" s="39"/>
      <c r="AL53" s="39"/>
      <c r="AM53" s="39">
        <f t="shared" si="4"/>
        <v>0</v>
      </c>
      <c r="AN53" s="39"/>
      <c r="AO53" s="39"/>
      <c r="AP53" s="39"/>
      <c r="AQ53" s="39"/>
      <c r="AR53" s="39"/>
      <c r="AS53" s="39"/>
      <c r="AT53" s="39">
        <v>250000</v>
      </c>
      <c r="AU53" s="39"/>
      <c r="AV53" s="39"/>
      <c r="AW53" s="39"/>
      <c r="AX53" s="39"/>
      <c r="AY53" s="39">
        <v>0</v>
      </c>
      <c r="AZ53" s="39">
        <v>0</v>
      </c>
      <c r="BA53" s="39">
        <v>0</v>
      </c>
      <c r="BB53" s="39">
        <v>0</v>
      </c>
      <c r="BC53" s="42"/>
    </row>
    <row r="54" spans="1:55" s="37" customFormat="1" x14ac:dyDescent="0.25">
      <c r="A54" s="33"/>
      <c r="B54" s="34"/>
      <c r="C54" s="35"/>
      <c r="D54" s="36"/>
      <c r="F54" s="35"/>
      <c r="H54" s="38"/>
      <c r="I54" s="38"/>
      <c r="J54" s="38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>
        <f t="shared" si="1"/>
        <v>0</v>
      </c>
      <c r="AB54" s="39">
        <f t="shared" si="2"/>
        <v>0</v>
      </c>
      <c r="AC54" s="40" t="e">
        <f t="shared" si="3"/>
        <v>#DIV/0!</v>
      </c>
      <c r="AD54" s="41"/>
      <c r="AE54" s="39"/>
      <c r="AF54" s="39"/>
      <c r="AG54" s="39"/>
      <c r="AH54" s="39"/>
      <c r="AI54" s="39"/>
      <c r="AJ54" s="39"/>
      <c r="AK54" s="39"/>
      <c r="AL54" s="39"/>
      <c r="AM54" s="39">
        <f t="shared" si="4"/>
        <v>0</v>
      </c>
      <c r="AN54" s="39"/>
      <c r="AO54" s="39"/>
      <c r="AP54" s="39"/>
      <c r="AQ54" s="39"/>
      <c r="AR54" s="39"/>
      <c r="AS54" s="39"/>
      <c r="AT54" s="39">
        <v>250000</v>
      </c>
      <c r="AU54" s="39"/>
      <c r="AV54" s="39"/>
      <c r="AW54" s="39"/>
      <c r="AX54" s="39"/>
      <c r="AY54" s="39">
        <v>0</v>
      </c>
      <c r="AZ54" s="39">
        <v>0</v>
      </c>
      <c r="BA54" s="39">
        <v>0</v>
      </c>
      <c r="BB54" s="39">
        <v>0</v>
      </c>
      <c r="BC54" s="42"/>
    </row>
    <row r="55" spans="1:55" s="37" customFormat="1" x14ac:dyDescent="0.25">
      <c r="A55" s="33"/>
      <c r="B55" s="34"/>
      <c r="C55" s="35"/>
      <c r="D55" s="36"/>
      <c r="F55" s="35"/>
      <c r="H55" s="38"/>
      <c r="I55" s="38"/>
      <c r="J55" s="38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>
        <f t="shared" si="1"/>
        <v>0</v>
      </c>
      <c r="AB55" s="39">
        <f t="shared" si="2"/>
        <v>0</v>
      </c>
      <c r="AC55" s="40" t="e">
        <f t="shared" si="3"/>
        <v>#DIV/0!</v>
      </c>
      <c r="AD55" s="41"/>
      <c r="AE55" s="39"/>
      <c r="AF55" s="39"/>
      <c r="AG55" s="39"/>
      <c r="AH55" s="39"/>
      <c r="AI55" s="39"/>
      <c r="AJ55" s="39"/>
      <c r="AK55" s="39"/>
      <c r="AL55" s="39"/>
      <c r="AM55" s="39">
        <f t="shared" si="4"/>
        <v>0</v>
      </c>
      <c r="AN55" s="39"/>
      <c r="AO55" s="39"/>
      <c r="AP55" s="39"/>
      <c r="AQ55" s="39"/>
      <c r="AR55" s="39"/>
      <c r="AS55" s="39"/>
      <c r="AT55" s="39">
        <v>250000</v>
      </c>
      <c r="AU55" s="39"/>
      <c r="AV55" s="39"/>
      <c r="AW55" s="39"/>
      <c r="AX55" s="39"/>
      <c r="AY55" s="39">
        <v>0</v>
      </c>
      <c r="AZ55" s="39">
        <v>0</v>
      </c>
      <c r="BA55" s="39">
        <v>0</v>
      </c>
      <c r="BB55" s="39">
        <v>0</v>
      </c>
      <c r="BC55" s="42"/>
    </row>
    <row r="56" spans="1:55" s="37" customFormat="1" x14ac:dyDescent="0.25">
      <c r="A56" s="33"/>
      <c r="B56" s="34"/>
      <c r="C56" s="35"/>
      <c r="D56" s="36"/>
      <c r="F56" s="35"/>
      <c r="H56" s="38"/>
      <c r="I56" s="38"/>
      <c r="J56" s="38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>
        <f t="shared" si="1"/>
        <v>0</v>
      </c>
      <c r="AB56" s="39">
        <f t="shared" si="2"/>
        <v>0</v>
      </c>
      <c r="AC56" s="40" t="e">
        <f t="shared" si="3"/>
        <v>#DIV/0!</v>
      </c>
      <c r="AD56" s="41"/>
      <c r="AE56" s="39"/>
      <c r="AF56" s="39"/>
      <c r="AG56" s="39"/>
      <c r="AH56" s="39"/>
      <c r="AI56" s="39"/>
      <c r="AJ56" s="39"/>
      <c r="AK56" s="39"/>
      <c r="AL56" s="39"/>
      <c r="AM56" s="39">
        <f t="shared" si="4"/>
        <v>0</v>
      </c>
      <c r="AN56" s="39"/>
      <c r="AO56" s="39"/>
      <c r="AP56" s="39"/>
      <c r="AQ56" s="39"/>
      <c r="AR56" s="39"/>
      <c r="AS56" s="39"/>
      <c r="AT56" s="39">
        <v>250000</v>
      </c>
      <c r="AU56" s="39"/>
      <c r="AV56" s="39"/>
      <c r="AW56" s="39"/>
      <c r="AX56" s="39"/>
      <c r="AY56" s="39">
        <v>0</v>
      </c>
      <c r="AZ56" s="39">
        <v>0</v>
      </c>
      <c r="BA56" s="39">
        <v>0</v>
      </c>
      <c r="BB56" s="39">
        <v>0</v>
      </c>
      <c r="BC56" s="42"/>
    </row>
    <row r="57" spans="1:55" s="37" customFormat="1" x14ac:dyDescent="0.25">
      <c r="A57" s="33"/>
      <c r="B57" s="34"/>
      <c r="C57" s="35"/>
      <c r="D57" s="36"/>
      <c r="F57" s="35"/>
      <c r="H57" s="38"/>
      <c r="I57" s="38"/>
      <c r="J57" s="38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>
        <f t="shared" si="1"/>
        <v>0</v>
      </c>
      <c r="AB57" s="39">
        <f t="shared" si="2"/>
        <v>0</v>
      </c>
      <c r="AC57" s="40" t="e">
        <f t="shared" si="3"/>
        <v>#DIV/0!</v>
      </c>
      <c r="AD57" s="41"/>
      <c r="AE57" s="39"/>
      <c r="AF57" s="39"/>
      <c r="AG57" s="39"/>
      <c r="AH57" s="39"/>
      <c r="AI57" s="39"/>
      <c r="AJ57" s="39"/>
      <c r="AK57" s="39"/>
      <c r="AL57" s="39"/>
      <c r="AM57" s="39">
        <f t="shared" si="4"/>
        <v>0</v>
      </c>
      <c r="AN57" s="39"/>
      <c r="AO57" s="39"/>
      <c r="AP57" s="39"/>
      <c r="AQ57" s="39"/>
      <c r="AR57" s="39"/>
      <c r="AS57" s="39"/>
      <c r="AT57" s="39">
        <v>250000</v>
      </c>
      <c r="AU57" s="39"/>
      <c r="AV57" s="39"/>
      <c r="AW57" s="39"/>
      <c r="AX57" s="39"/>
      <c r="AY57" s="39">
        <v>0</v>
      </c>
      <c r="AZ57" s="39">
        <v>0</v>
      </c>
      <c r="BA57" s="39">
        <v>0</v>
      </c>
      <c r="BB57" s="39">
        <v>0</v>
      </c>
      <c r="BC57" s="42"/>
    </row>
    <row r="58" spans="1:55" s="37" customFormat="1" x14ac:dyDescent="0.25">
      <c r="A58" s="33"/>
      <c r="B58" s="34"/>
      <c r="C58" s="35"/>
      <c r="D58" s="36"/>
      <c r="F58" s="35"/>
      <c r="H58" s="38"/>
      <c r="I58" s="38"/>
      <c r="J58" s="38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>
        <f t="shared" si="1"/>
        <v>0</v>
      </c>
      <c r="AB58" s="39">
        <f t="shared" si="2"/>
        <v>0</v>
      </c>
      <c r="AC58" s="40" t="e">
        <f t="shared" si="3"/>
        <v>#DIV/0!</v>
      </c>
      <c r="AD58" s="41"/>
      <c r="AE58" s="39"/>
      <c r="AF58" s="39"/>
      <c r="AG58" s="39"/>
      <c r="AH58" s="39"/>
      <c r="AI58" s="39"/>
      <c r="AJ58" s="39"/>
      <c r="AK58" s="39"/>
      <c r="AL58" s="39"/>
      <c r="AM58" s="39">
        <f t="shared" si="4"/>
        <v>0</v>
      </c>
      <c r="AN58" s="39"/>
      <c r="AO58" s="39"/>
      <c r="AP58" s="39"/>
      <c r="AQ58" s="39"/>
      <c r="AR58" s="39"/>
      <c r="AS58" s="39"/>
      <c r="AT58" s="39">
        <v>250000</v>
      </c>
      <c r="AU58" s="39"/>
      <c r="AV58" s="39"/>
      <c r="AW58" s="39"/>
      <c r="AX58" s="39"/>
      <c r="AY58" s="39">
        <v>0</v>
      </c>
      <c r="AZ58" s="39">
        <v>0</v>
      </c>
      <c r="BA58" s="39">
        <v>0</v>
      </c>
      <c r="BB58" s="39">
        <v>0</v>
      </c>
      <c r="BC58" s="42"/>
    </row>
    <row r="59" spans="1:55" s="37" customFormat="1" x14ac:dyDescent="0.25">
      <c r="A59" s="33"/>
      <c r="B59" s="34"/>
      <c r="C59" s="35"/>
      <c r="D59" s="36"/>
      <c r="F59" s="35"/>
      <c r="H59" s="38"/>
      <c r="I59" s="38"/>
      <c r="J59" s="38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>
        <f t="shared" si="1"/>
        <v>0</v>
      </c>
      <c r="AB59" s="39">
        <f t="shared" si="2"/>
        <v>0</v>
      </c>
      <c r="AC59" s="40" t="e">
        <f t="shared" si="3"/>
        <v>#DIV/0!</v>
      </c>
      <c r="AD59" s="41"/>
      <c r="AE59" s="39"/>
      <c r="AF59" s="39"/>
      <c r="AG59" s="39"/>
      <c r="AH59" s="39"/>
      <c r="AI59" s="39"/>
      <c r="AJ59" s="39"/>
      <c r="AK59" s="39"/>
      <c r="AL59" s="39"/>
      <c r="AM59" s="39">
        <f t="shared" si="4"/>
        <v>0</v>
      </c>
      <c r="AN59" s="39"/>
      <c r="AO59" s="39"/>
      <c r="AP59" s="39"/>
      <c r="AQ59" s="39"/>
      <c r="AR59" s="39"/>
      <c r="AS59" s="39"/>
      <c r="AT59" s="39">
        <v>250000</v>
      </c>
      <c r="AU59" s="39"/>
      <c r="AV59" s="39"/>
      <c r="AW59" s="39"/>
      <c r="AX59" s="39"/>
      <c r="AY59" s="39">
        <v>0</v>
      </c>
      <c r="AZ59" s="39">
        <v>0</v>
      </c>
      <c r="BA59" s="39">
        <v>0</v>
      </c>
      <c r="BB59" s="39">
        <v>0</v>
      </c>
      <c r="BC59" s="42"/>
    </row>
    <row r="60" spans="1:55" s="37" customFormat="1" x14ac:dyDescent="0.25">
      <c r="A60" s="33"/>
      <c r="B60" s="34"/>
      <c r="C60" s="35"/>
      <c r="D60" s="36"/>
      <c r="F60" s="35"/>
      <c r="H60" s="38"/>
      <c r="I60" s="38"/>
      <c r="J60" s="38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>
        <f t="shared" si="1"/>
        <v>0</v>
      </c>
      <c r="AB60" s="39">
        <f t="shared" si="2"/>
        <v>0</v>
      </c>
      <c r="AC60" s="40" t="e">
        <f t="shared" si="3"/>
        <v>#DIV/0!</v>
      </c>
      <c r="AD60" s="41"/>
      <c r="AE60" s="39"/>
      <c r="AF60" s="39"/>
      <c r="AG60" s="39"/>
      <c r="AH60" s="39"/>
      <c r="AI60" s="39"/>
      <c r="AJ60" s="39"/>
      <c r="AK60" s="39"/>
      <c r="AL60" s="39"/>
      <c r="AM60" s="39">
        <f t="shared" si="4"/>
        <v>0</v>
      </c>
      <c r="AN60" s="39"/>
      <c r="AO60" s="39"/>
      <c r="AP60" s="39"/>
      <c r="AQ60" s="39"/>
      <c r="AR60" s="39"/>
      <c r="AS60" s="39"/>
      <c r="AT60" s="39">
        <v>250000</v>
      </c>
      <c r="AU60" s="39"/>
      <c r="AV60" s="39"/>
      <c r="AW60" s="39"/>
      <c r="AX60" s="39"/>
      <c r="AY60" s="39">
        <v>0</v>
      </c>
      <c r="AZ60" s="39">
        <v>0</v>
      </c>
      <c r="BA60" s="39">
        <v>0</v>
      </c>
      <c r="BB60" s="39">
        <v>0</v>
      </c>
      <c r="BC60" s="42"/>
    </row>
    <row r="61" spans="1:55" s="37" customFormat="1" x14ac:dyDescent="0.25">
      <c r="A61" s="33"/>
      <c r="B61" s="34"/>
      <c r="C61" s="35"/>
      <c r="D61" s="36"/>
      <c r="F61" s="35"/>
      <c r="H61" s="38"/>
      <c r="I61" s="38"/>
      <c r="J61" s="38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>
        <f t="shared" si="1"/>
        <v>0</v>
      </c>
      <c r="AB61" s="39">
        <f t="shared" si="2"/>
        <v>0</v>
      </c>
      <c r="AC61" s="40" t="e">
        <f t="shared" si="3"/>
        <v>#DIV/0!</v>
      </c>
      <c r="AD61" s="41"/>
      <c r="AE61" s="39"/>
      <c r="AF61" s="39"/>
      <c r="AG61" s="39"/>
      <c r="AH61" s="39"/>
      <c r="AI61" s="39"/>
      <c r="AJ61" s="39"/>
      <c r="AK61" s="39"/>
      <c r="AL61" s="39"/>
      <c r="AM61" s="39">
        <f t="shared" si="4"/>
        <v>0</v>
      </c>
      <c r="AN61" s="39"/>
      <c r="AO61" s="39"/>
      <c r="AP61" s="39"/>
      <c r="AQ61" s="39"/>
      <c r="AR61" s="39"/>
      <c r="AS61" s="39"/>
      <c r="AT61" s="39">
        <v>250000</v>
      </c>
      <c r="AU61" s="39"/>
      <c r="AV61" s="39"/>
      <c r="AW61" s="39"/>
      <c r="AX61" s="39"/>
      <c r="AY61" s="39">
        <v>0</v>
      </c>
      <c r="AZ61" s="39">
        <v>0</v>
      </c>
      <c r="BA61" s="39">
        <v>0</v>
      </c>
      <c r="BB61" s="39">
        <v>0</v>
      </c>
      <c r="BC61" s="42"/>
    </row>
    <row r="62" spans="1:55" s="37" customFormat="1" x14ac:dyDescent="0.25">
      <c r="A62" s="33"/>
      <c r="B62" s="34"/>
      <c r="C62" s="35"/>
      <c r="D62" s="36"/>
      <c r="F62" s="35"/>
      <c r="H62" s="38"/>
      <c r="I62" s="38"/>
      <c r="J62" s="38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>
        <f t="shared" si="1"/>
        <v>0</v>
      </c>
      <c r="AB62" s="39">
        <f t="shared" si="2"/>
        <v>0</v>
      </c>
      <c r="AC62" s="40" t="e">
        <f t="shared" si="3"/>
        <v>#DIV/0!</v>
      </c>
      <c r="AD62" s="41"/>
      <c r="AE62" s="39"/>
      <c r="AF62" s="39"/>
      <c r="AG62" s="39"/>
      <c r="AH62" s="39"/>
      <c r="AI62" s="39"/>
      <c r="AJ62" s="39"/>
      <c r="AK62" s="39"/>
      <c r="AL62" s="39"/>
      <c r="AM62" s="39">
        <f t="shared" si="4"/>
        <v>0</v>
      </c>
      <c r="AN62" s="39"/>
      <c r="AO62" s="39"/>
      <c r="AP62" s="39"/>
      <c r="AQ62" s="39"/>
      <c r="AR62" s="39"/>
      <c r="AS62" s="39"/>
      <c r="AT62" s="39">
        <v>250000</v>
      </c>
      <c r="AU62" s="39"/>
      <c r="AV62" s="39"/>
      <c r="AW62" s="39"/>
      <c r="AX62" s="39"/>
      <c r="AY62" s="39">
        <v>0</v>
      </c>
      <c r="AZ62" s="39">
        <v>0</v>
      </c>
      <c r="BA62" s="39">
        <v>0</v>
      </c>
      <c r="BB62" s="39">
        <v>0</v>
      </c>
      <c r="BC62" s="42"/>
    </row>
    <row r="63" spans="1:55" s="37" customFormat="1" x14ac:dyDescent="0.25">
      <c r="A63" s="33"/>
      <c r="B63" s="34"/>
      <c r="C63" s="35"/>
      <c r="D63" s="36"/>
      <c r="F63" s="35"/>
      <c r="H63" s="38"/>
      <c r="I63" s="38"/>
      <c r="J63" s="38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>
        <f t="shared" si="1"/>
        <v>0</v>
      </c>
      <c r="AB63" s="39">
        <f t="shared" si="2"/>
        <v>0</v>
      </c>
      <c r="AC63" s="40" t="e">
        <f t="shared" si="3"/>
        <v>#DIV/0!</v>
      </c>
      <c r="AD63" s="41"/>
      <c r="AE63" s="39"/>
      <c r="AF63" s="39"/>
      <c r="AG63" s="39"/>
      <c r="AH63" s="39"/>
      <c r="AI63" s="39"/>
      <c r="AJ63" s="39"/>
      <c r="AK63" s="39"/>
      <c r="AL63" s="39"/>
      <c r="AM63" s="39">
        <f t="shared" si="4"/>
        <v>0</v>
      </c>
      <c r="AN63" s="39"/>
      <c r="AO63" s="39"/>
      <c r="AP63" s="39"/>
      <c r="AQ63" s="39"/>
      <c r="AR63" s="39"/>
      <c r="AS63" s="39"/>
      <c r="AT63" s="39">
        <v>250000</v>
      </c>
      <c r="AU63" s="39"/>
      <c r="AV63" s="39"/>
      <c r="AW63" s="39"/>
      <c r="AX63" s="39"/>
      <c r="AY63" s="39">
        <v>0</v>
      </c>
      <c r="AZ63" s="39">
        <v>0</v>
      </c>
      <c r="BA63" s="39">
        <v>0</v>
      </c>
      <c r="BB63" s="39">
        <v>0</v>
      </c>
      <c r="BC63" s="42"/>
    </row>
    <row r="64" spans="1:55" s="37" customFormat="1" x14ac:dyDescent="0.25">
      <c r="A64" s="33"/>
      <c r="B64" s="34"/>
      <c r="C64" s="35"/>
      <c r="D64" s="36"/>
      <c r="F64" s="35"/>
      <c r="H64" s="38"/>
      <c r="I64" s="38"/>
      <c r="J64" s="38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>
        <f t="shared" si="1"/>
        <v>0</v>
      </c>
      <c r="AB64" s="39">
        <f t="shared" si="2"/>
        <v>0</v>
      </c>
      <c r="AC64" s="40" t="e">
        <f t="shared" si="3"/>
        <v>#DIV/0!</v>
      </c>
      <c r="AD64" s="41"/>
      <c r="AE64" s="39"/>
      <c r="AF64" s="39"/>
      <c r="AG64" s="39"/>
      <c r="AH64" s="39"/>
      <c r="AI64" s="39"/>
      <c r="AJ64" s="39"/>
      <c r="AK64" s="39"/>
      <c r="AL64" s="39"/>
      <c r="AM64" s="39">
        <f t="shared" si="4"/>
        <v>0</v>
      </c>
      <c r="AN64" s="39"/>
      <c r="AO64" s="39"/>
      <c r="AP64" s="39"/>
      <c r="AQ64" s="39"/>
      <c r="AR64" s="39"/>
      <c r="AS64" s="39"/>
      <c r="AT64" s="39">
        <v>250000</v>
      </c>
      <c r="AU64" s="39"/>
      <c r="AV64" s="39"/>
      <c r="AW64" s="39"/>
      <c r="AX64" s="39"/>
      <c r="AY64" s="39">
        <v>0</v>
      </c>
      <c r="AZ64" s="39">
        <v>0</v>
      </c>
      <c r="BA64" s="39">
        <v>0</v>
      </c>
      <c r="BB64" s="39">
        <v>0</v>
      </c>
      <c r="BC64" s="42"/>
    </row>
    <row r="65" spans="1:55" s="37" customFormat="1" x14ac:dyDescent="0.25">
      <c r="A65" s="33"/>
      <c r="B65" s="34"/>
      <c r="C65" s="35"/>
      <c r="D65" s="36"/>
      <c r="F65" s="35"/>
      <c r="H65" s="38"/>
      <c r="I65" s="38"/>
      <c r="J65" s="38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>
        <f t="shared" si="1"/>
        <v>0</v>
      </c>
      <c r="AB65" s="39">
        <f t="shared" si="2"/>
        <v>0</v>
      </c>
      <c r="AC65" s="40" t="e">
        <f t="shared" si="3"/>
        <v>#DIV/0!</v>
      </c>
      <c r="AD65" s="41"/>
      <c r="AE65" s="39"/>
      <c r="AF65" s="39"/>
      <c r="AG65" s="39"/>
      <c r="AH65" s="39"/>
      <c r="AI65" s="39"/>
      <c r="AJ65" s="39"/>
      <c r="AK65" s="39"/>
      <c r="AL65" s="39"/>
      <c r="AM65" s="39">
        <f t="shared" si="4"/>
        <v>0</v>
      </c>
      <c r="AN65" s="39"/>
      <c r="AO65" s="39"/>
      <c r="AP65" s="39"/>
      <c r="AQ65" s="39"/>
      <c r="AR65" s="39"/>
      <c r="AS65" s="39"/>
      <c r="AT65" s="39">
        <v>250000</v>
      </c>
      <c r="AU65" s="39"/>
      <c r="AV65" s="39"/>
      <c r="AW65" s="39"/>
      <c r="AX65" s="39"/>
      <c r="AY65" s="39">
        <v>0</v>
      </c>
      <c r="AZ65" s="39">
        <v>0</v>
      </c>
      <c r="BA65" s="39">
        <v>0</v>
      </c>
      <c r="BB65" s="39">
        <v>0</v>
      </c>
      <c r="BC65" s="42"/>
    </row>
    <row r="66" spans="1:55" s="37" customFormat="1" x14ac:dyDescent="0.25">
      <c r="A66" s="33"/>
      <c r="B66" s="34"/>
      <c r="C66" s="35"/>
      <c r="D66" s="36"/>
      <c r="F66" s="35"/>
      <c r="H66" s="38"/>
      <c r="I66" s="38"/>
      <c r="J66" s="38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>
        <f t="shared" si="1"/>
        <v>0</v>
      </c>
      <c r="AB66" s="39">
        <f t="shared" si="2"/>
        <v>0</v>
      </c>
      <c r="AC66" s="40" t="e">
        <f t="shared" si="3"/>
        <v>#DIV/0!</v>
      </c>
      <c r="AD66" s="41"/>
      <c r="AE66" s="39"/>
      <c r="AF66" s="39"/>
      <c r="AG66" s="39"/>
      <c r="AH66" s="39"/>
      <c r="AI66" s="39"/>
      <c r="AJ66" s="39"/>
      <c r="AK66" s="39"/>
      <c r="AL66" s="39"/>
      <c r="AM66" s="39">
        <f t="shared" si="4"/>
        <v>0</v>
      </c>
      <c r="AN66" s="39"/>
      <c r="AO66" s="39"/>
      <c r="AP66" s="39"/>
      <c r="AQ66" s="39"/>
      <c r="AR66" s="39"/>
      <c r="AS66" s="39"/>
      <c r="AT66" s="39">
        <v>250000</v>
      </c>
      <c r="AU66" s="39"/>
      <c r="AV66" s="39"/>
      <c r="AW66" s="39"/>
      <c r="AX66" s="39"/>
      <c r="AY66" s="39">
        <v>0</v>
      </c>
      <c r="AZ66" s="39">
        <v>0</v>
      </c>
      <c r="BA66" s="39">
        <v>0</v>
      </c>
      <c r="BB66" s="39">
        <v>0</v>
      </c>
      <c r="BC66" s="42"/>
    </row>
    <row r="67" spans="1:55" s="37" customFormat="1" x14ac:dyDescent="0.25">
      <c r="A67" s="33"/>
      <c r="B67" s="34"/>
      <c r="C67" s="35"/>
      <c r="D67" s="36"/>
      <c r="F67" s="35"/>
      <c r="H67" s="38"/>
      <c r="I67" s="38"/>
      <c r="J67" s="38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>
        <f t="shared" si="1"/>
        <v>0</v>
      </c>
      <c r="AB67" s="39">
        <f t="shared" si="2"/>
        <v>0</v>
      </c>
      <c r="AC67" s="40" t="e">
        <f t="shared" si="3"/>
        <v>#DIV/0!</v>
      </c>
      <c r="AD67" s="41"/>
      <c r="AE67" s="39"/>
      <c r="AF67" s="39"/>
      <c r="AG67" s="39"/>
      <c r="AH67" s="39"/>
      <c r="AI67" s="39"/>
      <c r="AJ67" s="39"/>
      <c r="AK67" s="39"/>
      <c r="AL67" s="39"/>
      <c r="AM67" s="39">
        <f t="shared" si="4"/>
        <v>0</v>
      </c>
      <c r="AN67" s="39"/>
      <c r="AO67" s="39"/>
      <c r="AP67" s="39"/>
      <c r="AQ67" s="39"/>
      <c r="AR67" s="39"/>
      <c r="AS67" s="39"/>
      <c r="AT67" s="39">
        <v>250000</v>
      </c>
      <c r="AU67" s="39"/>
      <c r="AV67" s="39"/>
      <c r="AW67" s="39"/>
      <c r="AX67" s="39"/>
      <c r="AY67" s="39">
        <v>0</v>
      </c>
      <c r="AZ67" s="39">
        <v>0</v>
      </c>
      <c r="BA67" s="39">
        <v>0</v>
      </c>
      <c r="BB67" s="39">
        <v>0</v>
      </c>
      <c r="BC67" s="42"/>
    </row>
    <row r="68" spans="1:55" s="37" customFormat="1" x14ac:dyDescent="0.25">
      <c r="A68" s="33"/>
      <c r="B68" s="34"/>
      <c r="C68" s="35"/>
      <c r="D68" s="36"/>
      <c r="F68" s="35"/>
      <c r="H68" s="38"/>
      <c r="I68" s="38"/>
      <c r="J68" s="38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>
        <f t="shared" si="1"/>
        <v>0</v>
      </c>
      <c r="AB68" s="39">
        <f t="shared" si="2"/>
        <v>0</v>
      </c>
      <c r="AC68" s="40" t="e">
        <f t="shared" si="3"/>
        <v>#DIV/0!</v>
      </c>
      <c r="AD68" s="41"/>
      <c r="AE68" s="39"/>
      <c r="AF68" s="39"/>
      <c r="AG68" s="39"/>
      <c r="AH68" s="39"/>
      <c r="AI68" s="39"/>
      <c r="AJ68" s="39"/>
      <c r="AK68" s="39"/>
      <c r="AL68" s="39"/>
      <c r="AM68" s="39">
        <f t="shared" si="4"/>
        <v>0</v>
      </c>
      <c r="AN68" s="39"/>
      <c r="AO68" s="39"/>
      <c r="AP68" s="39"/>
      <c r="AQ68" s="39"/>
      <c r="AR68" s="39"/>
      <c r="AS68" s="39"/>
      <c r="AT68" s="39">
        <v>250000</v>
      </c>
      <c r="AU68" s="39"/>
      <c r="AV68" s="39"/>
      <c r="AW68" s="39"/>
      <c r="AX68" s="39"/>
      <c r="AY68" s="39">
        <v>0</v>
      </c>
      <c r="AZ68" s="39">
        <v>0</v>
      </c>
      <c r="BA68" s="39">
        <v>0</v>
      </c>
      <c r="BB68" s="39">
        <v>0</v>
      </c>
      <c r="BC68" s="42"/>
    </row>
    <row r="69" spans="1:55" s="37" customFormat="1" x14ac:dyDescent="0.25">
      <c r="A69" s="33"/>
      <c r="B69" s="34"/>
      <c r="C69" s="35"/>
      <c r="D69" s="36"/>
      <c r="F69" s="35"/>
      <c r="H69" s="38"/>
      <c r="I69" s="38"/>
      <c r="J69" s="38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>
        <f t="shared" si="1"/>
        <v>0</v>
      </c>
      <c r="AB69" s="39">
        <f t="shared" si="2"/>
        <v>0</v>
      </c>
      <c r="AC69" s="40" t="e">
        <f t="shared" si="3"/>
        <v>#DIV/0!</v>
      </c>
      <c r="AD69" s="41"/>
      <c r="AE69" s="39"/>
      <c r="AF69" s="39"/>
      <c r="AG69" s="39"/>
      <c r="AH69" s="39"/>
      <c r="AI69" s="39"/>
      <c r="AJ69" s="39"/>
      <c r="AK69" s="39"/>
      <c r="AL69" s="39"/>
      <c r="AM69" s="39">
        <f t="shared" si="4"/>
        <v>0</v>
      </c>
      <c r="AN69" s="39"/>
      <c r="AO69" s="39"/>
      <c r="AP69" s="39"/>
      <c r="AQ69" s="39"/>
      <c r="AR69" s="39"/>
      <c r="AS69" s="39"/>
      <c r="AT69" s="39">
        <v>250000</v>
      </c>
      <c r="AU69" s="39"/>
      <c r="AV69" s="39"/>
      <c r="AW69" s="39"/>
      <c r="AX69" s="39"/>
      <c r="AY69" s="39">
        <v>0</v>
      </c>
      <c r="AZ69" s="39">
        <v>0</v>
      </c>
      <c r="BA69" s="39">
        <v>0</v>
      </c>
      <c r="BB69" s="39">
        <v>0</v>
      </c>
      <c r="BC69" s="42"/>
    </row>
    <row r="70" spans="1:55" s="37" customFormat="1" x14ac:dyDescent="0.25">
      <c r="A70" s="33"/>
      <c r="B70" s="34"/>
      <c r="C70" s="35"/>
      <c r="D70" s="36"/>
      <c r="F70" s="35"/>
      <c r="H70" s="38"/>
      <c r="I70" s="38"/>
      <c r="J70" s="38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>
        <f t="shared" si="1"/>
        <v>0</v>
      </c>
      <c r="AB70" s="39">
        <f t="shared" si="2"/>
        <v>0</v>
      </c>
      <c r="AC70" s="40" t="e">
        <f t="shared" si="3"/>
        <v>#DIV/0!</v>
      </c>
      <c r="AD70" s="41"/>
      <c r="AE70" s="39"/>
      <c r="AF70" s="39"/>
      <c r="AG70" s="39"/>
      <c r="AH70" s="39"/>
      <c r="AI70" s="39"/>
      <c r="AJ70" s="39"/>
      <c r="AK70" s="39"/>
      <c r="AL70" s="39"/>
      <c r="AM70" s="39">
        <f t="shared" si="4"/>
        <v>0</v>
      </c>
      <c r="AN70" s="39"/>
      <c r="AO70" s="39"/>
      <c r="AP70" s="39"/>
      <c r="AQ70" s="39"/>
      <c r="AR70" s="39"/>
      <c r="AS70" s="39"/>
      <c r="AT70" s="39">
        <v>250000</v>
      </c>
      <c r="AU70" s="39"/>
      <c r="AV70" s="39"/>
      <c r="AW70" s="39"/>
      <c r="AX70" s="39"/>
      <c r="AY70" s="39">
        <v>0</v>
      </c>
      <c r="AZ70" s="39">
        <v>0</v>
      </c>
      <c r="BA70" s="39">
        <v>0</v>
      </c>
      <c r="BB70" s="39">
        <v>0</v>
      </c>
      <c r="BC70" s="42"/>
    </row>
    <row r="71" spans="1:55" s="37" customFormat="1" x14ac:dyDescent="0.25">
      <c r="A71" s="33"/>
      <c r="B71" s="34"/>
      <c r="C71" s="35"/>
      <c r="D71" s="36"/>
      <c r="F71" s="35"/>
      <c r="H71" s="38"/>
      <c r="I71" s="38"/>
      <c r="J71" s="38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>
        <f t="shared" ref="AA71:AA77" si="5">AB71/12</f>
        <v>0</v>
      </c>
      <c r="AB71" s="39">
        <f t="shared" ref="AB71:AB77" si="6">Z71*313</f>
        <v>0</v>
      </c>
      <c r="AC71" s="40" t="e">
        <f t="shared" ref="AC71:AC77" si="7">AD71/AB71*313</f>
        <v>#DIV/0!</v>
      </c>
      <c r="AD71" s="41"/>
      <c r="AE71" s="39"/>
      <c r="AF71" s="39"/>
      <c r="AG71" s="39"/>
      <c r="AH71" s="39"/>
      <c r="AI71" s="39"/>
      <c r="AJ71" s="39"/>
      <c r="AK71" s="39"/>
      <c r="AL71" s="39"/>
      <c r="AM71" s="39">
        <f t="shared" ref="AM71:AM77" si="8">AD71+AE71+AF71+AG71+AH71+AI71+AJ71+AL71</f>
        <v>0</v>
      </c>
      <c r="AN71" s="39"/>
      <c r="AO71" s="39"/>
      <c r="AP71" s="39"/>
      <c r="AQ71" s="39"/>
      <c r="AR71" s="39"/>
      <c r="AS71" s="39"/>
      <c r="AT71" s="39">
        <v>250000</v>
      </c>
      <c r="AU71" s="39"/>
      <c r="AV71" s="39"/>
      <c r="AW71" s="39"/>
      <c r="AX71" s="39"/>
      <c r="AY71" s="39">
        <v>0</v>
      </c>
      <c r="AZ71" s="39">
        <v>0</v>
      </c>
      <c r="BA71" s="39">
        <v>0</v>
      </c>
      <c r="BB71" s="39">
        <v>0</v>
      </c>
      <c r="BC71" s="42"/>
    </row>
    <row r="72" spans="1:55" s="37" customFormat="1" x14ac:dyDescent="0.25">
      <c r="A72" s="33"/>
      <c r="B72" s="34"/>
      <c r="C72" s="35"/>
      <c r="D72" s="36"/>
      <c r="F72" s="35"/>
      <c r="H72" s="38"/>
      <c r="I72" s="38"/>
      <c r="J72" s="38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>
        <f t="shared" si="5"/>
        <v>0</v>
      </c>
      <c r="AB72" s="39">
        <f t="shared" si="6"/>
        <v>0</v>
      </c>
      <c r="AC72" s="40" t="e">
        <f t="shared" si="7"/>
        <v>#DIV/0!</v>
      </c>
      <c r="AD72" s="41"/>
      <c r="AE72" s="39"/>
      <c r="AF72" s="39"/>
      <c r="AG72" s="39"/>
      <c r="AH72" s="39"/>
      <c r="AI72" s="39"/>
      <c r="AJ72" s="39"/>
      <c r="AK72" s="39"/>
      <c r="AL72" s="39"/>
      <c r="AM72" s="39">
        <f t="shared" si="8"/>
        <v>0</v>
      </c>
      <c r="AN72" s="39"/>
      <c r="AO72" s="39"/>
      <c r="AP72" s="39"/>
      <c r="AQ72" s="39"/>
      <c r="AR72" s="39"/>
      <c r="AS72" s="39"/>
      <c r="AT72" s="39">
        <v>250000</v>
      </c>
      <c r="AU72" s="39"/>
      <c r="AV72" s="39"/>
      <c r="AW72" s="39"/>
      <c r="AX72" s="39"/>
      <c r="AY72" s="39">
        <v>0</v>
      </c>
      <c r="AZ72" s="39">
        <v>0</v>
      </c>
      <c r="BA72" s="39">
        <v>0</v>
      </c>
      <c r="BB72" s="39">
        <v>0</v>
      </c>
      <c r="BC72" s="42"/>
    </row>
    <row r="73" spans="1:55" s="37" customFormat="1" x14ac:dyDescent="0.25">
      <c r="A73" s="33"/>
      <c r="B73" s="34"/>
      <c r="C73" s="35"/>
      <c r="D73" s="36"/>
      <c r="F73" s="35"/>
      <c r="H73" s="38"/>
      <c r="I73" s="38"/>
      <c r="J73" s="38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>
        <f t="shared" si="5"/>
        <v>0</v>
      </c>
      <c r="AB73" s="39">
        <f t="shared" si="6"/>
        <v>0</v>
      </c>
      <c r="AC73" s="40" t="e">
        <f t="shared" si="7"/>
        <v>#DIV/0!</v>
      </c>
      <c r="AD73" s="41"/>
      <c r="AE73" s="39"/>
      <c r="AF73" s="39"/>
      <c r="AG73" s="39"/>
      <c r="AH73" s="39"/>
      <c r="AI73" s="39"/>
      <c r="AJ73" s="39"/>
      <c r="AK73" s="39"/>
      <c r="AL73" s="39"/>
      <c r="AM73" s="39">
        <f t="shared" si="8"/>
        <v>0</v>
      </c>
      <c r="AN73" s="39"/>
      <c r="AO73" s="39"/>
      <c r="AP73" s="39"/>
      <c r="AQ73" s="39"/>
      <c r="AR73" s="39"/>
      <c r="AS73" s="39"/>
      <c r="AT73" s="39">
        <v>250000</v>
      </c>
      <c r="AU73" s="39"/>
      <c r="AV73" s="39"/>
      <c r="AW73" s="39"/>
      <c r="AX73" s="39"/>
      <c r="AY73" s="39">
        <v>0</v>
      </c>
      <c r="AZ73" s="39">
        <v>0</v>
      </c>
      <c r="BA73" s="39">
        <v>0</v>
      </c>
      <c r="BB73" s="39">
        <v>0</v>
      </c>
      <c r="BC73" s="42"/>
    </row>
    <row r="74" spans="1:55" s="37" customFormat="1" x14ac:dyDescent="0.25">
      <c r="A74" s="33"/>
      <c r="B74" s="34"/>
      <c r="C74" s="35"/>
      <c r="D74" s="36"/>
      <c r="F74" s="35"/>
      <c r="H74" s="38"/>
      <c r="I74" s="38"/>
      <c r="J74" s="38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>
        <f t="shared" si="5"/>
        <v>0</v>
      </c>
      <c r="AB74" s="39">
        <f t="shared" si="6"/>
        <v>0</v>
      </c>
      <c r="AC74" s="40" t="e">
        <f t="shared" si="7"/>
        <v>#DIV/0!</v>
      </c>
      <c r="AD74" s="41"/>
      <c r="AE74" s="39"/>
      <c r="AF74" s="39"/>
      <c r="AG74" s="39"/>
      <c r="AH74" s="39"/>
      <c r="AI74" s="39"/>
      <c r="AJ74" s="39"/>
      <c r="AK74" s="39"/>
      <c r="AL74" s="39"/>
      <c r="AM74" s="39">
        <f t="shared" si="8"/>
        <v>0</v>
      </c>
      <c r="AN74" s="39"/>
      <c r="AO74" s="39"/>
      <c r="AP74" s="39"/>
      <c r="AQ74" s="39"/>
      <c r="AR74" s="39"/>
      <c r="AS74" s="39"/>
      <c r="AT74" s="39">
        <v>250000</v>
      </c>
      <c r="AU74" s="39"/>
      <c r="AV74" s="39"/>
      <c r="AW74" s="39"/>
      <c r="AX74" s="39"/>
      <c r="AY74" s="39">
        <v>0</v>
      </c>
      <c r="AZ74" s="39">
        <v>0</v>
      </c>
      <c r="BA74" s="39">
        <v>0</v>
      </c>
      <c r="BB74" s="39">
        <v>0</v>
      </c>
      <c r="BC74" s="42"/>
    </row>
    <row r="75" spans="1:55" s="37" customFormat="1" x14ac:dyDescent="0.25">
      <c r="A75" s="33"/>
      <c r="B75" s="34"/>
      <c r="C75" s="35"/>
      <c r="D75" s="36"/>
      <c r="F75" s="35"/>
      <c r="H75" s="38"/>
      <c r="I75" s="38"/>
      <c r="J75" s="38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>
        <f t="shared" si="5"/>
        <v>0</v>
      </c>
      <c r="AB75" s="39">
        <f t="shared" si="6"/>
        <v>0</v>
      </c>
      <c r="AC75" s="40" t="e">
        <f t="shared" si="7"/>
        <v>#DIV/0!</v>
      </c>
      <c r="AD75" s="41"/>
      <c r="AE75" s="39"/>
      <c r="AF75" s="39"/>
      <c r="AG75" s="39"/>
      <c r="AH75" s="39"/>
      <c r="AI75" s="39"/>
      <c r="AJ75" s="39"/>
      <c r="AK75" s="39"/>
      <c r="AL75" s="39"/>
      <c r="AM75" s="39">
        <f t="shared" si="8"/>
        <v>0</v>
      </c>
      <c r="AN75" s="39"/>
      <c r="AO75" s="39"/>
      <c r="AP75" s="39"/>
      <c r="AQ75" s="39"/>
      <c r="AR75" s="39"/>
      <c r="AS75" s="39"/>
      <c r="AT75" s="39">
        <v>250000</v>
      </c>
      <c r="AU75" s="39"/>
      <c r="AV75" s="39"/>
      <c r="AW75" s="39"/>
      <c r="AX75" s="39"/>
      <c r="AY75" s="39">
        <v>0</v>
      </c>
      <c r="AZ75" s="39">
        <v>0</v>
      </c>
      <c r="BA75" s="39">
        <v>0</v>
      </c>
      <c r="BB75" s="39">
        <v>0</v>
      </c>
      <c r="BC75" s="42"/>
    </row>
    <row r="76" spans="1:55" s="37" customFormat="1" x14ac:dyDescent="0.25">
      <c r="A76" s="33"/>
      <c r="B76" s="34"/>
      <c r="C76" s="35"/>
      <c r="D76" s="36"/>
      <c r="F76" s="35"/>
      <c r="H76" s="38"/>
      <c r="I76" s="38"/>
      <c r="J76" s="38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>
        <f t="shared" si="5"/>
        <v>0</v>
      </c>
      <c r="AB76" s="39">
        <f t="shared" si="6"/>
        <v>0</v>
      </c>
      <c r="AC76" s="40" t="e">
        <f t="shared" si="7"/>
        <v>#DIV/0!</v>
      </c>
      <c r="AD76" s="41"/>
      <c r="AE76" s="39"/>
      <c r="AF76" s="39"/>
      <c r="AG76" s="39"/>
      <c r="AH76" s="39"/>
      <c r="AI76" s="39"/>
      <c r="AJ76" s="39"/>
      <c r="AK76" s="39"/>
      <c r="AL76" s="39"/>
      <c r="AM76" s="39">
        <f t="shared" si="8"/>
        <v>0</v>
      </c>
      <c r="AN76" s="39"/>
      <c r="AO76" s="39"/>
      <c r="AP76" s="39"/>
      <c r="AQ76" s="39"/>
      <c r="AR76" s="39"/>
      <c r="AS76" s="39"/>
      <c r="AT76" s="39">
        <v>250000</v>
      </c>
      <c r="AU76" s="39"/>
      <c r="AV76" s="39"/>
      <c r="AW76" s="39"/>
      <c r="AX76" s="39"/>
      <c r="AY76" s="39">
        <v>0</v>
      </c>
      <c r="AZ76" s="39">
        <v>0</v>
      </c>
      <c r="BA76" s="39">
        <v>0</v>
      </c>
      <c r="BB76" s="39">
        <v>0</v>
      </c>
      <c r="BC76" s="42"/>
    </row>
    <row r="77" spans="1:55" s="37" customFormat="1" x14ac:dyDescent="0.25">
      <c r="A77" s="33"/>
      <c r="B77" s="34"/>
      <c r="C77" s="35"/>
      <c r="D77" s="36"/>
      <c r="F77" s="35"/>
      <c r="H77" s="38"/>
      <c r="I77" s="38"/>
      <c r="J77" s="38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>
        <f t="shared" si="5"/>
        <v>0</v>
      </c>
      <c r="AB77" s="39">
        <f t="shared" si="6"/>
        <v>0</v>
      </c>
      <c r="AC77" s="40" t="e">
        <f t="shared" si="7"/>
        <v>#DIV/0!</v>
      </c>
      <c r="AD77" s="41"/>
      <c r="AE77" s="39"/>
      <c r="AF77" s="39"/>
      <c r="AG77" s="39"/>
      <c r="AH77" s="39"/>
      <c r="AI77" s="39"/>
      <c r="AJ77" s="39"/>
      <c r="AK77" s="39"/>
      <c r="AL77" s="39"/>
      <c r="AM77" s="39">
        <f t="shared" si="8"/>
        <v>0</v>
      </c>
      <c r="AN77" s="39"/>
      <c r="AO77" s="39"/>
      <c r="AP77" s="39"/>
      <c r="AQ77" s="39"/>
      <c r="AR77" s="39"/>
      <c r="AS77" s="39"/>
      <c r="AT77" s="39">
        <v>250000</v>
      </c>
      <c r="AU77" s="39"/>
      <c r="AV77" s="39"/>
      <c r="AW77" s="39"/>
      <c r="AX77" s="39"/>
      <c r="AY77" s="39">
        <v>0</v>
      </c>
      <c r="AZ77" s="39">
        <v>0</v>
      </c>
      <c r="BA77" s="39">
        <v>0</v>
      </c>
      <c r="BB77" s="39">
        <v>0</v>
      </c>
      <c r="BC77" s="42"/>
    </row>
    <row r="78" spans="1:55" x14ac:dyDescent="0.25">
      <c r="A78" s="33"/>
      <c r="B78" s="34"/>
      <c r="C78" s="35"/>
      <c r="D78" s="36"/>
      <c r="E78" s="37"/>
      <c r="F78" s="35"/>
      <c r="G78" s="37"/>
      <c r="H78" s="38"/>
      <c r="I78" s="38"/>
      <c r="AD78" s="41"/>
    </row>
    <row r="79" spans="1:55" x14ac:dyDescent="0.25">
      <c r="A79" s="33"/>
      <c r="B79" s="34"/>
      <c r="C79" s="35"/>
      <c r="D79" s="36"/>
      <c r="E79" s="37"/>
      <c r="F79" s="35"/>
      <c r="G79" s="37"/>
      <c r="H79" s="38"/>
      <c r="I79" s="38"/>
      <c r="AD79" s="41"/>
    </row>
    <row r="80" spans="1:55" x14ac:dyDescent="0.25">
      <c r="B80" s="34"/>
    </row>
  </sheetData>
  <mergeCells count="1">
    <mergeCell ref="J3:J5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I. Pestano</dc:creator>
  <cp:lastModifiedBy>Jundrie A. Tano</cp:lastModifiedBy>
  <dcterms:created xsi:type="dcterms:W3CDTF">2020-01-08T07:53:22Z</dcterms:created>
  <dcterms:modified xsi:type="dcterms:W3CDTF">2022-02-07T07:05:27Z</dcterms:modified>
</cp:coreProperties>
</file>